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orn\OneDrive\Desktop\info\"/>
    </mc:Choice>
  </mc:AlternateContent>
  <xr:revisionPtr revIDLastSave="0" documentId="8_{727FB457-5BB0-4E9F-AC0A-980AFF439661}" xr6:coauthVersionLast="36" xr6:coauthVersionMax="36" xr10:uidLastSave="{00000000-0000-0000-0000-000000000000}"/>
  <bookViews>
    <workbookView xWindow="0" yWindow="0" windowWidth="21570" windowHeight="7890" firstSheet="7" activeTab="10" xr2:uid="{8A52F2BE-E030-40C2-8C83-323F7BB36691}"/>
  </bookViews>
  <sheets>
    <sheet name="MSP2_01" sheetId="1" r:id="rId1"/>
    <sheet name="MSP2-02" sheetId="2" r:id="rId2"/>
    <sheet name="MSP2-03" sheetId="3" r:id="rId3"/>
    <sheet name="MSP2-04" sheetId="4" r:id="rId4"/>
    <sheet name="MSP2-05" sheetId="5" r:id="rId5"/>
    <sheet name="MSP2-06" sheetId="6" r:id="rId6"/>
    <sheet name="MSP2-07" sheetId="7" r:id="rId7"/>
    <sheet name="MSP2-08" sheetId="8" r:id="rId8"/>
    <sheet name="MSP2-09" sheetId="9" r:id="rId9"/>
    <sheet name="MSP2-10" sheetId="10" r:id="rId10"/>
    <sheet name="Static Information" sheetId="11" r:id="rId11"/>
  </sheets>
  <externalReferences>
    <externalReference r:id="rId12"/>
  </externalReferences>
  <definedNames>
    <definedName name="Agent_Banking">'[1]Static Information'!$G$3:$G$54</definedName>
    <definedName name="Banks">'[1]Static Information'!$B$3:$B$58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3" i="3" l="1"/>
  <c r="I82" i="3"/>
  <c r="I84" i="3" s="1"/>
  <c r="I85" i="3" s="1"/>
  <c r="H82" i="3"/>
  <c r="H84" i="3" s="1"/>
  <c r="H85" i="3" s="1"/>
  <c r="G82" i="3"/>
  <c r="G84" i="3" s="1"/>
  <c r="E82" i="3"/>
  <c r="E84" i="3" s="1"/>
  <c r="E85" i="3" s="1"/>
  <c r="J80" i="3"/>
  <c r="J82" i="3" s="1"/>
  <c r="J84" i="3" s="1"/>
  <c r="I80" i="3"/>
  <c r="H80" i="3"/>
  <c r="G80" i="3"/>
  <c r="F80" i="3"/>
  <c r="F82" i="3" s="1"/>
  <c r="E80" i="3"/>
  <c r="C80" i="3"/>
  <c r="C79" i="3"/>
  <c r="D77" i="3"/>
  <c r="D74" i="3"/>
  <c r="D71" i="3"/>
  <c r="D68" i="3"/>
  <c r="D65" i="3"/>
  <c r="D62" i="3"/>
  <c r="D59" i="3"/>
  <c r="D56" i="3"/>
  <c r="D53" i="3"/>
  <c r="D50" i="3"/>
  <c r="D47" i="3"/>
  <c r="D44" i="3"/>
  <c r="D41" i="3"/>
  <c r="D38" i="3"/>
  <c r="D35" i="3"/>
  <c r="D32" i="3"/>
  <c r="D29" i="3"/>
  <c r="D26" i="3"/>
  <c r="D23" i="3"/>
  <c r="D20" i="3"/>
  <c r="D17" i="3"/>
  <c r="D14" i="3"/>
  <c r="D6" i="3"/>
  <c r="D4" i="3"/>
  <c r="D2" i="3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Q228" i="10"/>
  <c r="Q241" i="10" s="1"/>
  <c r="P228" i="10"/>
  <c r="O228" i="10"/>
  <c r="O241" i="10" s="1"/>
  <c r="N228" i="10"/>
  <c r="N241" i="10" s="1"/>
  <c r="M228" i="10"/>
  <c r="M241" i="10" s="1"/>
  <c r="L228" i="10"/>
  <c r="K228" i="10"/>
  <c r="K241" i="10" s="1"/>
  <c r="J228" i="10"/>
  <c r="J241" i="10" s="1"/>
  <c r="I228" i="10"/>
  <c r="I241" i="10" s="1"/>
  <c r="H228" i="10"/>
  <c r="G228" i="10"/>
  <c r="G241" i="10" s="1"/>
  <c r="F228" i="10"/>
  <c r="F241" i="10" s="1"/>
  <c r="E228" i="10"/>
  <c r="E241" i="10" s="1"/>
  <c r="D228" i="10"/>
  <c r="C228" i="10"/>
  <c r="C241" i="10" s="1"/>
  <c r="Q225" i="10"/>
  <c r="P225" i="10"/>
  <c r="P241" i="10" s="1"/>
  <c r="O225" i="10"/>
  <c r="N225" i="10"/>
  <c r="M225" i="10"/>
  <c r="L225" i="10"/>
  <c r="L241" i="10" s="1"/>
  <c r="K225" i="10"/>
  <c r="J225" i="10"/>
  <c r="I225" i="10"/>
  <c r="H225" i="10"/>
  <c r="H241" i="10" s="1"/>
  <c r="G225" i="10"/>
  <c r="F225" i="10"/>
  <c r="E225" i="10"/>
  <c r="D225" i="10"/>
  <c r="D241" i="10" s="1"/>
  <c r="C225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Q29" i="10"/>
  <c r="P29" i="10"/>
  <c r="P223" i="10" s="1"/>
  <c r="P242" i="10" s="1"/>
  <c r="O29" i="10"/>
  <c r="O223" i="10" s="1"/>
  <c r="N29" i="10"/>
  <c r="M29" i="10"/>
  <c r="L29" i="10"/>
  <c r="L223" i="10" s="1"/>
  <c r="L242" i="10" s="1"/>
  <c r="K29" i="10"/>
  <c r="K223" i="10" s="1"/>
  <c r="K242" i="10" s="1"/>
  <c r="J29" i="10"/>
  <c r="I29" i="10"/>
  <c r="H29" i="10"/>
  <c r="H223" i="10" s="1"/>
  <c r="H242" i="10" s="1"/>
  <c r="G29" i="10"/>
  <c r="G223" i="10" s="1"/>
  <c r="G242" i="10" s="1"/>
  <c r="F29" i="10"/>
  <c r="E29" i="10"/>
  <c r="D29" i="10"/>
  <c r="D223" i="10" s="1"/>
  <c r="D242" i="10" s="1"/>
  <c r="C29" i="10"/>
  <c r="C223" i="10" s="1"/>
  <c r="C242" i="10" s="1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Q15" i="10"/>
  <c r="Q223" i="10" s="1"/>
  <c r="Q242" i="10" s="1"/>
  <c r="P15" i="10"/>
  <c r="O15" i="10"/>
  <c r="N15" i="10"/>
  <c r="N223" i="10" s="1"/>
  <c r="N242" i="10" s="1"/>
  <c r="M15" i="10"/>
  <c r="M223" i="10" s="1"/>
  <c r="M242" i="10" s="1"/>
  <c r="L15" i="10"/>
  <c r="K15" i="10"/>
  <c r="J15" i="10"/>
  <c r="J223" i="10" s="1"/>
  <c r="J242" i="10" s="1"/>
  <c r="I15" i="10"/>
  <c r="I223" i="10" s="1"/>
  <c r="I242" i="10" s="1"/>
  <c r="H15" i="10"/>
  <c r="G15" i="10"/>
  <c r="F15" i="10"/>
  <c r="F223" i="10" s="1"/>
  <c r="F242" i="10" s="1"/>
  <c r="E15" i="10"/>
  <c r="E223" i="10" s="1"/>
  <c r="E242" i="10" s="1"/>
  <c r="D15" i="10"/>
  <c r="C15" i="10"/>
  <c r="H6" i="10"/>
  <c r="H4" i="10"/>
  <c r="H2" i="10"/>
  <c r="F80" i="9"/>
  <c r="E80" i="9"/>
  <c r="D80" i="9"/>
  <c r="C80" i="9"/>
  <c r="A79" i="9"/>
  <c r="H77" i="9"/>
  <c r="G77" i="9"/>
  <c r="A77" i="9"/>
  <c r="A75" i="9"/>
  <c r="H74" i="9"/>
  <c r="G74" i="9"/>
  <c r="A73" i="9"/>
  <c r="H71" i="9"/>
  <c r="G71" i="9"/>
  <c r="A71" i="9"/>
  <c r="A69" i="9"/>
  <c r="H68" i="9"/>
  <c r="G68" i="9"/>
  <c r="A67" i="9"/>
  <c r="H65" i="9"/>
  <c r="G65" i="9"/>
  <c r="A65" i="9"/>
  <c r="A63" i="9"/>
  <c r="H62" i="9"/>
  <c r="G62" i="9"/>
  <c r="A61" i="9"/>
  <c r="H59" i="9"/>
  <c r="G59" i="9"/>
  <c r="A59" i="9"/>
  <c r="A57" i="9"/>
  <c r="H56" i="9"/>
  <c r="G56" i="9"/>
  <c r="A55" i="9"/>
  <c r="H53" i="9"/>
  <c r="G53" i="9"/>
  <c r="A53" i="9"/>
  <c r="A51" i="9"/>
  <c r="H50" i="9"/>
  <c r="G50" i="9"/>
  <c r="A49" i="9"/>
  <c r="H47" i="9"/>
  <c r="G47" i="9"/>
  <c r="A47" i="9"/>
  <c r="A45" i="9"/>
  <c r="H44" i="9"/>
  <c r="G44" i="9"/>
  <c r="A43" i="9"/>
  <c r="H41" i="9"/>
  <c r="G41" i="9"/>
  <c r="A41" i="9"/>
  <c r="A39" i="9"/>
  <c r="H38" i="9"/>
  <c r="G38" i="9"/>
  <c r="A37" i="9"/>
  <c r="H35" i="9"/>
  <c r="G35" i="9"/>
  <c r="A35" i="9"/>
  <c r="A33" i="9"/>
  <c r="H32" i="9"/>
  <c r="G32" i="9"/>
  <c r="A31" i="9"/>
  <c r="H29" i="9"/>
  <c r="G29" i="9"/>
  <c r="A29" i="9"/>
  <c r="A27" i="9"/>
  <c r="H26" i="9"/>
  <c r="G26" i="9"/>
  <c r="A25" i="9"/>
  <c r="H23" i="9"/>
  <c r="G23" i="9"/>
  <c r="A23" i="9"/>
  <c r="A21" i="9"/>
  <c r="H20" i="9"/>
  <c r="G20" i="9"/>
  <c r="A19" i="9"/>
  <c r="H17" i="9"/>
  <c r="G17" i="9"/>
  <c r="A15" i="9"/>
  <c r="H14" i="9"/>
  <c r="H80" i="9" s="1"/>
  <c r="G14" i="9"/>
  <c r="G80" i="9" s="1"/>
  <c r="D6" i="9"/>
  <c r="D4" i="9"/>
  <c r="D2" i="9"/>
  <c r="C43" i="8"/>
  <c r="E6" i="8"/>
  <c r="E4" i="8"/>
  <c r="E2" i="8"/>
  <c r="G79" i="7"/>
  <c r="D79" i="7"/>
  <c r="C79" i="7"/>
  <c r="G78" i="7"/>
  <c r="F78" i="7"/>
  <c r="D78" i="7"/>
  <c r="C78" i="7"/>
  <c r="H77" i="7"/>
  <c r="E77" i="7"/>
  <c r="H76" i="7"/>
  <c r="E76" i="7"/>
  <c r="H75" i="7"/>
  <c r="E75" i="7"/>
  <c r="H74" i="7"/>
  <c r="E74" i="7"/>
  <c r="H73" i="7"/>
  <c r="E73" i="7"/>
  <c r="E78" i="7" s="1"/>
  <c r="H72" i="7"/>
  <c r="H78" i="7" s="1"/>
  <c r="E72" i="7"/>
  <c r="G69" i="7"/>
  <c r="F69" i="7"/>
  <c r="D69" i="7"/>
  <c r="C69" i="7"/>
  <c r="H66" i="7"/>
  <c r="E66" i="7"/>
  <c r="H65" i="7"/>
  <c r="E65" i="7"/>
  <c r="H64" i="7"/>
  <c r="E64" i="7"/>
  <c r="H63" i="7"/>
  <c r="E63" i="7"/>
  <c r="H62" i="7"/>
  <c r="E62" i="7"/>
  <c r="E69" i="7" s="1"/>
  <c r="H61" i="7"/>
  <c r="H69" i="7" s="1"/>
  <c r="E61" i="7"/>
  <c r="G59" i="7"/>
  <c r="G70" i="7" s="1"/>
  <c r="G80" i="7" s="1"/>
  <c r="F59" i="7"/>
  <c r="D59" i="7"/>
  <c r="D70" i="7" s="1"/>
  <c r="D80" i="7" s="1"/>
  <c r="C59" i="7"/>
  <c r="C70" i="7" s="1"/>
  <c r="C80" i="7" s="1"/>
  <c r="H58" i="7"/>
  <c r="E58" i="7"/>
  <c r="H57" i="7"/>
  <c r="E57" i="7"/>
  <c r="H56" i="7"/>
  <c r="E56" i="7"/>
  <c r="H55" i="7"/>
  <c r="E55" i="7"/>
  <c r="H54" i="7"/>
  <c r="E54" i="7"/>
  <c r="H53" i="7"/>
  <c r="E53" i="7"/>
  <c r="H52" i="7"/>
  <c r="E52" i="7"/>
  <c r="H51" i="7"/>
  <c r="E51" i="7"/>
  <c r="H50" i="7"/>
  <c r="E50" i="7"/>
  <c r="H49" i="7"/>
  <c r="E49" i="7"/>
  <c r="H48" i="7"/>
  <c r="E48" i="7"/>
  <c r="H47" i="7"/>
  <c r="E47" i="7"/>
  <c r="H46" i="7"/>
  <c r="E46" i="7"/>
  <c r="H45" i="7"/>
  <c r="H59" i="7" s="1"/>
  <c r="E45" i="7"/>
  <c r="E59" i="7" s="1"/>
  <c r="G43" i="7"/>
  <c r="F43" i="7"/>
  <c r="F79" i="7" s="1"/>
  <c r="D43" i="7"/>
  <c r="C43" i="7"/>
  <c r="H42" i="7"/>
  <c r="E42" i="7"/>
  <c r="H41" i="7"/>
  <c r="E41" i="7"/>
  <c r="H40" i="7"/>
  <c r="E40" i="7"/>
  <c r="H39" i="7"/>
  <c r="E39" i="7"/>
  <c r="H38" i="7"/>
  <c r="E38" i="7"/>
  <c r="H37" i="7"/>
  <c r="E37" i="7"/>
  <c r="H36" i="7"/>
  <c r="E36" i="7"/>
  <c r="H35" i="7"/>
  <c r="E35" i="7"/>
  <c r="H34" i="7"/>
  <c r="E34" i="7"/>
  <c r="H33" i="7"/>
  <c r="E33" i="7"/>
  <c r="H32" i="7"/>
  <c r="E32" i="7"/>
  <c r="H31" i="7"/>
  <c r="E31" i="7"/>
  <c r="H30" i="7"/>
  <c r="E30" i="7"/>
  <c r="H29" i="7"/>
  <c r="E29" i="7"/>
  <c r="H28" i="7"/>
  <c r="E28" i="7"/>
  <c r="H27" i="7"/>
  <c r="E27" i="7"/>
  <c r="H26" i="7"/>
  <c r="E26" i="7"/>
  <c r="H25" i="7"/>
  <c r="E25" i="7"/>
  <c r="H24" i="7"/>
  <c r="E24" i="7"/>
  <c r="H23" i="7"/>
  <c r="E23" i="7"/>
  <c r="H22" i="7"/>
  <c r="E22" i="7"/>
  <c r="H21" i="7"/>
  <c r="E21" i="7"/>
  <c r="H20" i="7"/>
  <c r="E20" i="7"/>
  <c r="H19" i="7"/>
  <c r="E19" i="7"/>
  <c r="H18" i="7"/>
  <c r="E18" i="7"/>
  <c r="H17" i="7"/>
  <c r="E17" i="7"/>
  <c r="H16" i="7"/>
  <c r="E16" i="7"/>
  <c r="E43" i="7" s="1"/>
  <c r="H15" i="7"/>
  <c r="H43" i="7" s="1"/>
  <c r="E15" i="7"/>
  <c r="F6" i="7"/>
  <c r="F4" i="7"/>
  <c r="F2" i="7"/>
  <c r="K22" i="6"/>
  <c r="K21" i="6"/>
  <c r="K20" i="6"/>
  <c r="K19" i="6"/>
  <c r="J18" i="6"/>
  <c r="I18" i="6"/>
  <c r="H18" i="6"/>
  <c r="G18" i="6"/>
  <c r="F18" i="6"/>
  <c r="E18" i="6"/>
  <c r="K18" i="6" s="1"/>
  <c r="D18" i="6"/>
  <c r="C18" i="6"/>
  <c r="K17" i="6"/>
  <c r="K16" i="6"/>
  <c r="K15" i="6"/>
  <c r="K14" i="6"/>
  <c r="C6" i="6"/>
  <c r="C4" i="6"/>
  <c r="C2" i="6"/>
  <c r="C23" i="5"/>
  <c r="C24" i="5" s="1"/>
  <c r="C14" i="5"/>
  <c r="C26" i="5" s="1"/>
  <c r="D6" i="5"/>
  <c r="D4" i="5"/>
  <c r="D2" i="5"/>
  <c r="D23" i="4"/>
  <c r="D28" i="4" s="1"/>
  <c r="C23" i="4"/>
  <c r="C28" i="4" s="1"/>
  <c r="D6" i="4"/>
  <c r="D4" i="4"/>
  <c r="D2" i="4"/>
  <c r="D36" i="2"/>
  <c r="C36" i="2"/>
  <c r="D29" i="2"/>
  <c r="C29" i="2"/>
  <c r="D20" i="2"/>
  <c r="C20" i="2"/>
  <c r="D14" i="2"/>
  <c r="D26" i="2" s="1"/>
  <c r="D53" i="2" s="1"/>
  <c r="D55" i="2" s="1"/>
  <c r="C14" i="2"/>
  <c r="C26" i="2" s="1"/>
  <c r="C53" i="2" s="1"/>
  <c r="C55" i="2" s="1"/>
  <c r="C6" i="2"/>
  <c r="C4" i="2"/>
  <c r="C2" i="2"/>
  <c r="C64" i="1"/>
  <c r="C55" i="1"/>
  <c r="C48" i="1" s="1"/>
  <c r="C63" i="1" s="1"/>
  <c r="C74" i="1" s="1"/>
  <c r="C49" i="1"/>
  <c r="C39" i="1"/>
  <c r="C36" i="1"/>
  <c r="C30" i="1"/>
  <c r="C27" i="1"/>
  <c r="C21" i="1"/>
  <c r="C46" i="1" s="1"/>
  <c r="C16" i="1"/>
  <c r="C14" i="1"/>
  <c r="F84" i="3" l="1"/>
  <c r="D82" i="3"/>
  <c r="D84" i="3" s="1"/>
  <c r="D80" i="3"/>
  <c r="D85" i="3" s="1"/>
  <c r="F85" i="3"/>
  <c r="J85" i="3"/>
  <c r="G85" i="3"/>
  <c r="O242" i="10"/>
  <c r="H79" i="7"/>
  <c r="H70" i="7"/>
  <c r="H80" i="7" s="1"/>
  <c r="E79" i="7"/>
  <c r="E70" i="7"/>
  <c r="E80" i="7" s="1"/>
  <c r="F70" i="7"/>
  <c r="F80" i="7" s="1"/>
  <c r="C25" i="5"/>
  <c r="H26" i="4"/>
  <c r="H24" i="4"/>
  <c r="H22" i="4"/>
  <c r="H20" i="4"/>
  <c r="H18" i="4"/>
  <c r="H16" i="4"/>
  <c r="H14" i="4"/>
  <c r="E26" i="4"/>
  <c r="E24" i="4"/>
  <c r="E22" i="4"/>
  <c r="E20" i="4"/>
  <c r="E18" i="4"/>
  <c r="E16" i="4"/>
  <c r="E14" i="4"/>
  <c r="H28" i="4"/>
  <c r="H27" i="4"/>
  <c r="H25" i="4"/>
  <c r="H21" i="4"/>
  <c r="H19" i="4"/>
  <c r="H17" i="4"/>
  <c r="H15" i="4"/>
  <c r="E28" i="4"/>
  <c r="E27" i="4"/>
  <c r="E25" i="4"/>
  <c r="E21" i="4"/>
  <c r="E19" i="4"/>
  <c r="E17" i="4"/>
  <c r="E15" i="4"/>
  <c r="D86" i="3" l="1"/>
</calcChain>
</file>

<file path=xl/sharedStrings.xml><?xml version="1.0" encoding="utf-8"?>
<sst xmlns="http://schemas.openxmlformats.org/spreadsheetml/2006/main" count="843" uniqueCount="631">
  <si>
    <t>NAME OF INSTITUTION</t>
  </si>
  <si>
    <t>TESTING MSP</t>
  </si>
  <si>
    <t xml:space="preserve">MSP CODE: </t>
  </si>
  <si>
    <t>M001</t>
  </si>
  <si>
    <t>BALANCE SHEET AS AT THE QUARTER ENDED: (DD/MM/YYYY)</t>
  </si>
  <si>
    <t>BOT FORM MSP2-01: To be submitted Quarterly</t>
  </si>
  <si>
    <t>(Amount in TZS 0.00)</t>
  </si>
  <si>
    <t>Sno</t>
  </si>
  <si>
    <t>Particulars</t>
  </si>
  <si>
    <t>Amount</t>
  </si>
  <si>
    <t>Validation</t>
  </si>
  <si>
    <t>a</t>
  </si>
  <si>
    <t>b</t>
  </si>
  <si>
    <t>c</t>
  </si>
  <si>
    <t>d</t>
  </si>
  <si>
    <t>1. CASH AND CASH EQUIVALENTS (sum a:d)</t>
  </si>
  <si>
    <t xml:space="preserve">    (a) Cash in Hand</t>
  </si>
  <si>
    <t xml:space="preserve">    (b) Balances with  Banks and Financial Institutions (sum i:ii)</t>
  </si>
  <si>
    <t>(i) Non-Agent Banking  Balances</t>
  </si>
  <si>
    <t>(ii) Agent-Banking Balances</t>
  </si>
  <si>
    <t xml:space="preserve">    (c ) Balances with Microfinance Service Providers</t>
  </si>
  <si>
    <t xml:space="preserve">    (d) MNOs Float  Balances</t>
  </si>
  <si>
    <t>2. INVESTMENT IN DEBT SECURITIES - NET (Sum a:d minus e)</t>
  </si>
  <si>
    <t xml:space="preserve">    (a )Treasury Bills</t>
  </si>
  <si>
    <t xml:space="preserve">    (b) Other Government Securities</t>
  </si>
  <si>
    <t xml:space="preserve">    (c) Private Securities</t>
  </si>
  <si>
    <t xml:space="preserve">    (d) Others</t>
  </si>
  <si>
    <t xml:space="preserve">   (e) Allowance for Probable Losses (Deduction)</t>
  </si>
  <si>
    <t>3. EQUITY INVESTMENTS - NET (a - b)</t>
  </si>
  <si>
    <t xml:space="preserve">    (a) Equity Investment</t>
  </si>
  <si>
    <t xml:space="preserve">    (b) Allowance for Probable Losses (Deduction)</t>
  </si>
  <si>
    <t>4. LOANS - NET (sum a:d less e)</t>
  </si>
  <si>
    <t xml:space="preserve">     (a) Loans to Clients</t>
  </si>
  <si>
    <t xml:space="preserve">     (b) Loan to Staff and Related Parties</t>
  </si>
  <si>
    <t xml:space="preserve">     (c)Loans to other Microfinance Service Providers</t>
  </si>
  <si>
    <t xml:space="preserve">     (d) Accrued Interest on Loans </t>
  </si>
  <si>
    <t xml:space="preserve">     (e) Allowances for Probable Losses (Deduction) </t>
  </si>
  <si>
    <t>5. PROPERTY, PLANT AND EQUIPMENT -NET (a -b)</t>
  </si>
  <si>
    <t xml:space="preserve">    (a) Property, Plant and Equipment</t>
  </si>
  <si>
    <t xml:space="preserve">    (b) Accumulated Depreciation (Deduction)</t>
  </si>
  <si>
    <t>6. OTHER ASSETS (sum a:e less f)</t>
  </si>
  <si>
    <t xml:space="preserve">    (a) Receivables</t>
  </si>
  <si>
    <t xml:space="preserve">    (b) Prepaid Expenses</t>
  </si>
  <si>
    <t xml:space="preserve">    (c )Deffered Tax Assets</t>
  </si>
  <si>
    <t xml:space="preserve">    (d )Intangible Assets</t>
  </si>
  <si>
    <t xml:space="preserve">    (e) Miscellaneous Assets</t>
  </si>
  <si>
    <t xml:space="preserve">    (f) Allowance for Probable Losses  (Deduction)</t>
  </si>
  <si>
    <t xml:space="preserve">7. TOTAL ASSETS </t>
  </si>
  <si>
    <t>C33=C61</t>
  </si>
  <si>
    <t>8. LIABILITIES</t>
  </si>
  <si>
    <t>9.  BORROWINGS (sum a:b)</t>
  </si>
  <si>
    <t xml:space="preserve">     (a)Borrowings in Tanzania (sum i:v)</t>
  </si>
  <si>
    <t xml:space="preserve">           (i) Borrowings from Banks and Financial Institutions </t>
  </si>
  <si>
    <t xml:space="preserve">          (ii) Borrowings from Other Microfinance Service Providers  </t>
  </si>
  <si>
    <t xml:space="preserve">          (iii) Borrowing from Shareholders   </t>
  </si>
  <si>
    <t xml:space="preserve">          (iv) Borrowing from Public through Debt Securities </t>
  </si>
  <si>
    <t xml:space="preserve">          (v) Other Borrowings</t>
  </si>
  <si>
    <t xml:space="preserve">     (b)Borrowings from Abroad (sum i:iii)</t>
  </si>
  <si>
    <t xml:space="preserve">           (ii) Borrowing from Shareholders   </t>
  </si>
  <si>
    <t xml:space="preserve">           (iii) Other Borrowings</t>
  </si>
  <si>
    <t>10. CASH COLLATERAL/LOAN INSURANCE GUARANTEES/COMPULSORY SAVINGS</t>
  </si>
  <si>
    <t>11.TAX PAYABLES</t>
  </si>
  <si>
    <t>12. DIVIDEND PAYABLES</t>
  </si>
  <si>
    <t>13. OTHER PAYABLES AND ACCRUALS</t>
  </si>
  <si>
    <t>14. TOTAL LIABILITIES (sum 9:13)</t>
  </si>
  <si>
    <t>15. TOTAL CAPITAL (sum a:i)</t>
  </si>
  <si>
    <t xml:space="preserve">    (a) Paid-up Ordinary Share Capital</t>
  </si>
  <si>
    <t xml:space="preserve">    (b) Paid-up Preference Shares</t>
  </si>
  <si>
    <t xml:space="preserve">    (c) Capital Grants</t>
  </si>
  <si>
    <t xml:space="preserve"> (d) Donations</t>
  </si>
  <si>
    <t xml:space="preserve">    (e) Share Premium</t>
  </si>
  <si>
    <t xml:space="preserve">    (f) General Reserves</t>
  </si>
  <si>
    <t xml:space="preserve">    (g) Retained Earnings</t>
  </si>
  <si>
    <t xml:space="preserve">    (h) Profit/Loss</t>
  </si>
  <si>
    <t xml:space="preserve">    (i) Other Reserves</t>
  </si>
  <si>
    <t>16. TOTAL LIABILITIES AND CAPITAL (14+15)</t>
  </si>
  <si>
    <t>NAME OF INSTITUTION:</t>
  </si>
  <si>
    <t xml:space="preserve">MSP CODE:  </t>
  </si>
  <si>
    <t>STATEMENT OF INCOME AND EXPENSE FOR THE QUARTER ENDED:</t>
  </si>
  <si>
    <t>BOT FORM MSP2-02 to be submitted Quarterly</t>
  </si>
  <si>
    <t>Particular</t>
  </si>
  <si>
    <t>Quartely Amount</t>
  </si>
  <si>
    <t>Year To date Amount</t>
  </si>
  <si>
    <t>1. INTEREST INCOME</t>
  </si>
  <si>
    <t xml:space="preserve">   a. Interest - Loans to Clients</t>
  </si>
  <si>
    <t xml:space="preserve">   b. Interest - Loans to Microfinance Service Providers</t>
  </si>
  <si>
    <t xml:space="preserve">   c. Interest - Investments in Govt Securities</t>
  </si>
  <si>
    <t xml:space="preserve">   d. Interest - Bank Deposits</t>
  </si>
  <si>
    <t xml:space="preserve">   e. Interest - Others </t>
  </si>
  <si>
    <t>2. INTEREST EXPENSE</t>
  </si>
  <si>
    <t xml:space="preserve">   a. Interest - Borrowings  from Banks &amp; Financial Institutions in Tanzania </t>
  </si>
  <si>
    <t xml:space="preserve">   b. Interest - Borrowing from Microfinance Service Providers in Tanzania</t>
  </si>
  <si>
    <t xml:space="preserve">   c. Interest - Borrowings from Abroad</t>
  </si>
  <si>
    <t xml:space="preserve">   d. Interest - Borrowing from Shareholders  </t>
  </si>
  <si>
    <t>3. NET INTEREST INCOME (1 less 2)</t>
  </si>
  <si>
    <t>4. BAD DEBTS WRITTEN OFF NOT PROVIDED FOR</t>
  </si>
  <si>
    <t>5. PROVISION FOR BAD AND DOUBTFUL DEBTS</t>
  </si>
  <si>
    <t>6. NON-INTEREST INCOME</t>
  </si>
  <si>
    <t xml:space="preserve">    a. Commisions</t>
  </si>
  <si>
    <t xml:space="preserve">    b.  Fees</t>
  </si>
  <si>
    <t xml:space="preserve">    c.  Rental Income on Premises</t>
  </si>
  <si>
    <t xml:space="preserve">    d.  Dividends on Equity Investment</t>
  </si>
  <si>
    <t xml:space="preserve">    e.  Income from Recovery of Charged off Assets and Acquired Assets</t>
  </si>
  <si>
    <t xml:space="preserve">     f.  Other Income</t>
  </si>
  <si>
    <t>7. NON-INTEREST EXPENSES</t>
  </si>
  <si>
    <t xml:space="preserve">    a. Managements' Salaries and Benefits</t>
  </si>
  <si>
    <t xml:space="preserve">    b. Employees' Salaries and Benefits</t>
  </si>
  <si>
    <t xml:space="preserve">    c. Wages</t>
  </si>
  <si>
    <t xml:space="preserve">    d. Pensions Contributions</t>
  </si>
  <si>
    <t xml:space="preserve">    e. Skills and Development Levy</t>
  </si>
  <si>
    <t xml:space="preserve">    f. Rental Expense on Premises and Equipment</t>
  </si>
  <si>
    <t xml:space="preserve">    g. Depreciation - Premises and Equipment</t>
  </si>
  <si>
    <t xml:space="preserve">    h. Amortization - Leasehold Rights and Equipments</t>
  </si>
  <si>
    <t xml:space="preserve">    i. Foreclosure  and Litigation Expenses</t>
  </si>
  <si>
    <t xml:space="preserve">    j. Management Fees</t>
  </si>
  <si>
    <t xml:space="preserve">    k. Auditors Fees</t>
  </si>
  <si>
    <t xml:space="preserve">    l. Taxes </t>
  </si>
  <si>
    <t xml:space="preserve">    m. License Fees</t>
  </si>
  <si>
    <t xml:space="preserve">    n. Insurance</t>
  </si>
  <si>
    <t xml:space="preserve">    o. Utilities Expenses</t>
  </si>
  <si>
    <t xml:space="preserve">    p. Other Non-Interest Expenses</t>
  </si>
  <si>
    <t xml:space="preserve">8. NET INCOME / (LOSS) BEFORE INCOME TAX (3+6 Less 4,5 and 7) </t>
  </si>
  <si>
    <t>9. INCOME TAX PROVISION</t>
  </si>
  <si>
    <t xml:space="preserve">10. NET INCOME / (LOSS) AFTER INCOME TAX (8 less 9) </t>
  </si>
  <si>
    <t>D42=MSP_01C59</t>
  </si>
  <si>
    <t>Sector</t>
  </si>
  <si>
    <t>Number of Borrowers</t>
  </si>
  <si>
    <t>Total Outstanding</t>
  </si>
  <si>
    <t>Current Amount</t>
  </si>
  <si>
    <t>PAST DUE AMOUNT</t>
  </si>
  <si>
    <t>Amount Written-off during the quarter</t>
  </si>
  <si>
    <t>ESM</t>
  </si>
  <si>
    <t>Substandard</t>
  </si>
  <si>
    <t>Doubtful</t>
  </si>
  <si>
    <t>Loss</t>
  </si>
  <si>
    <t>e</t>
  </si>
  <si>
    <t>f</t>
  </si>
  <si>
    <t>g</t>
  </si>
  <si>
    <t>h</t>
  </si>
  <si>
    <t>i</t>
  </si>
  <si>
    <t>j</t>
  </si>
  <si>
    <t>1. Agriculture</t>
  </si>
  <si>
    <t>2. Fishing</t>
  </si>
  <si>
    <t>3. Forest</t>
  </si>
  <si>
    <t>4. Hunting</t>
  </si>
  <si>
    <t xml:space="preserve"> </t>
  </si>
  <si>
    <t>5. Financial Intermediaries</t>
  </si>
  <si>
    <t>6. Mining and Quarrying</t>
  </si>
  <si>
    <t>7. Manufacturing</t>
  </si>
  <si>
    <t>8. Building and Construction</t>
  </si>
  <si>
    <t>9. Real Estate</t>
  </si>
  <si>
    <t>10. Leasing</t>
  </si>
  <si>
    <t>11. Transport and Communication</t>
  </si>
  <si>
    <t>12. Trade</t>
  </si>
  <si>
    <t>13. Tourism</t>
  </si>
  <si>
    <t>14. Hotels and Restaurants</t>
  </si>
  <si>
    <t>15. Warehousing and Storage</t>
  </si>
  <si>
    <t>16. Electricity</t>
  </si>
  <si>
    <t>17. Gas</t>
  </si>
  <si>
    <t>18. Water</t>
  </si>
  <si>
    <t>19. Education</t>
  </si>
  <si>
    <t>20. Health</t>
  </si>
  <si>
    <t>21. Other Services</t>
  </si>
  <si>
    <t>22. Personal (Private)</t>
  </si>
  <si>
    <t xml:space="preserve">Total </t>
  </si>
  <si>
    <t>C67=MSP2_04C15</t>
  </si>
  <si>
    <t>Provision Rate</t>
  </si>
  <si>
    <t xml:space="preserve">Provision Amount </t>
  </si>
  <si>
    <t>Less Cash Collateral/Insurance Guarantee/Compulsory Saving</t>
  </si>
  <si>
    <t xml:space="preserve">Net Provision Amount </t>
  </si>
  <si>
    <t xml:space="preserve">TOTAL (Net Amount) </t>
  </si>
  <si>
    <t xml:space="preserve">Ratio of Non-Performing Loans to Gross Loans </t>
  </si>
  <si>
    <t>NAME OF INSTITUTION :</t>
  </si>
  <si>
    <t>INTEREST RATES STRUCTURE FOR MICROFINANCE LOANS AS AT:</t>
  </si>
  <si>
    <t>BOT Form MSP2-04 To be submitted Quarterly (Amount in TZS 0.00)</t>
  </si>
  <si>
    <t>S/no</t>
  </si>
  <si>
    <t>Type of Microfinance Loans</t>
  </si>
  <si>
    <t>Outstanding Loan Amount</t>
  </si>
  <si>
    <t>*Weighted Average Interest Rate Straight Line Amortization (% p.a.)</t>
  </si>
  <si>
    <t>Norminal Interest Rate (% p.a.) for Straight Line Amortization</t>
  </si>
  <si>
    <t>Weighted Average Interest Rate Reducing Balance Amortization (% p.a.)</t>
  </si>
  <si>
    <t>Norminal Interest Rate (% p.a.) for Reducing Balance Amortization</t>
  </si>
  <si>
    <t>Lowest</t>
  </si>
  <si>
    <t>Highest</t>
  </si>
  <si>
    <t>Business Group Loans</t>
  </si>
  <si>
    <t>Business Solidarity/Small Group Loans</t>
  </si>
  <si>
    <t>Business Individual Loans</t>
  </si>
  <si>
    <t>Agriculture Loans</t>
  </si>
  <si>
    <t>Housing Microfinance Loans</t>
  </si>
  <si>
    <t>Microleasing/Hire purchase Loans</t>
  </si>
  <si>
    <t>Loans to Other Microfinance Service Providers (e.g. SACCOS)</t>
  </si>
  <si>
    <t>Micro Insurance Loans</t>
  </si>
  <si>
    <t>Education Loan</t>
  </si>
  <si>
    <t>Salaried Loans</t>
  </si>
  <si>
    <t xml:space="preserve">  (a) Government Employees</t>
  </si>
  <si>
    <t xml:space="preserve">  (b) Non-Government Employees</t>
  </si>
  <si>
    <t>Emergence Loans</t>
  </si>
  <si>
    <t>Other Micro Loans</t>
  </si>
  <si>
    <t>TOTAL</t>
  </si>
  <si>
    <t>C15=MSP2_03C67, D15=MSP2_01C17+MSP2_01C22</t>
  </si>
  <si>
    <t xml:space="preserve">NAME OF INSTITUTION: </t>
  </si>
  <si>
    <t>COMPUTATION OF LIQUID ASSETS FOR THE QUARTER ENDED:</t>
  </si>
  <si>
    <t>BOT Form MSP2-05 To be submitted Quarterly</t>
  </si>
  <si>
    <t>1. REQUIRED MINIMUM AMOUNT OF LIQUID ASSETS</t>
  </si>
  <si>
    <t>AMOUNT</t>
  </si>
  <si>
    <t>VALIDATION</t>
  </si>
  <si>
    <t>A: TOTAL AVAILABLE LIQUID ASSETS</t>
  </si>
  <si>
    <t>(a) Cash in hand</t>
  </si>
  <si>
    <t>C2=MSP2_01C2</t>
  </si>
  <si>
    <t>(b)Balances with  Banks and Financial Institutions</t>
  </si>
  <si>
    <t>C3=MSP2_01C3</t>
  </si>
  <si>
    <t>(c ) Balances with Microfinance Service Providers</t>
  </si>
  <si>
    <t>C4=MSP2_01C6</t>
  </si>
  <si>
    <t>(d ) MNOs Float Cash Balances</t>
  </si>
  <si>
    <t>C5=MSP2_01C7</t>
  </si>
  <si>
    <t>(e)  Treasury Bills (Unencumbered)</t>
  </si>
  <si>
    <t>(f)Other Government Securities with Residual Maturity of One Year or Less (Unencumbered)</t>
  </si>
  <si>
    <t>(g) Private Securities with Residual Maturity of One Year or Less  (Unencumbered)</t>
  </si>
  <si>
    <t>(h) Other Liquid Assets Maturing within 12 Months</t>
  </si>
  <si>
    <t>B. TOTAL ASSETS</t>
  </si>
  <si>
    <t>C: Required Minimum Liquid Assets (5%*B)</t>
  </si>
  <si>
    <t>D: Excess (Deficiency) Liquid Assets (A-C)</t>
  </si>
  <si>
    <t>E: Liquid Asset Ratio (A / B)</t>
  </si>
  <si>
    <t>Template is version 0.0.0.0</t>
  </si>
  <si>
    <t>COMPLAINT REPORT FOR THE QUARTER ENDED:</t>
  </si>
  <si>
    <t>BOT FORM MSP2-06: To be submitted Quarterly</t>
  </si>
  <si>
    <t xml:space="preserve">Number </t>
  </si>
  <si>
    <t>Value (TZS 0.00)</t>
  </si>
  <si>
    <t>Nature of Complaints</t>
  </si>
  <si>
    <t>Interest Rate</t>
  </si>
  <si>
    <t xml:space="preserve"> Agreements</t>
  </si>
  <si>
    <t>Repayments</t>
  </si>
  <si>
    <t>Loan Statement</t>
  </si>
  <si>
    <t>Loan Processing</t>
  </si>
  <si>
    <t>Others</t>
  </si>
  <si>
    <t>Total</t>
  </si>
  <si>
    <t>k</t>
  </si>
  <si>
    <t xml:space="preserve">Number of complaints at the beginning of the quarter    </t>
  </si>
  <si>
    <t>C1=E1+F1+G1+H1+I1+J1</t>
  </si>
  <si>
    <t>New complaints received during the quarter</t>
  </si>
  <si>
    <t>C2=E2+F2+G2+H2+I2+J2</t>
  </si>
  <si>
    <t xml:space="preserve">Complaints resolved during the quarter by the institution                           </t>
  </si>
  <si>
    <t>C3=E3+F3+G3+H3+I3+J3</t>
  </si>
  <si>
    <t xml:space="preserve">Complaints resolved during the quarter by other parties (eg Courts, Bank of Tanzania, FCC) </t>
  </si>
  <si>
    <t>C4=E4+F4+G4+H4+I4+J4</t>
  </si>
  <si>
    <t>Unresolved  complaints at the end of the quarter(1+2-3-4)</t>
  </si>
  <si>
    <t xml:space="preserve">C5=E5+F5+G5+H5+I5+J5 </t>
  </si>
  <si>
    <t>Unresolved  complaints referred to Bank of Tanzania</t>
  </si>
  <si>
    <t>C6=E6+F6+G6+H6+I6+J6</t>
  </si>
  <si>
    <t>Unresolved  complaints referred to Fair Competition Commission</t>
  </si>
  <si>
    <t>C7=E7+F7+G7+H7+I7+J7</t>
  </si>
  <si>
    <t>Unresolved  complaints referred to Courts</t>
  </si>
  <si>
    <t>C8=E8+F8+G8+H8+I8+J8</t>
  </si>
  <si>
    <t>Unresolved  complaints referred to Other Parties</t>
  </si>
  <si>
    <t>C9=E9+F9+G9+H9+I9+J9</t>
  </si>
  <si>
    <t>MSP CODE:</t>
  </si>
  <si>
    <t xml:space="preserve">DEPOSITS AND BORROWINGS FROM BANKS AND FINANCIAL INSTITUTIONS FOR THE QUARTER ENDED: </t>
  </si>
  <si>
    <t>BOT Form MSP2-07 To be submitted Quarterly (Amount in TZS 0.00)</t>
  </si>
  <si>
    <t>Name of Bank or Financial Institution</t>
  </si>
  <si>
    <t>Deposit Amounts</t>
  </si>
  <si>
    <t>Borrowed Amount</t>
  </si>
  <si>
    <t xml:space="preserve">TZS </t>
  </si>
  <si>
    <t>Foreign Currency Equivalent  in TZS</t>
  </si>
  <si>
    <t>Total Deposits (c+d)</t>
  </si>
  <si>
    <t xml:space="preserve"> Total Loan (f+g)</t>
  </si>
  <si>
    <t>BANKS IN TANZANIA (lookup values)</t>
  </si>
  <si>
    <t>ABSA BANK TANZANIA LIMITED</t>
  </si>
  <si>
    <t>NATIONAL MICROFINANCE BANK (T) LTD.</t>
  </si>
  <si>
    <t>STANDARD CHARTERED BANK (T) LTD</t>
  </si>
  <si>
    <t>STANBIC BANK (T) LTD</t>
  </si>
  <si>
    <t>ECOBANK TANZANIA LIMITED</t>
  </si>
  <si>
    <t>BOA BANK</t>
  </si>
  <si>
    <t>TOTAL IN BANKS TANZANIA</t>
  </si>
  <si>
    <t>H30=MSP2_01C37</t>
  </si>
  <si>
    <t>MICROFINANCE SERVICE PROVIDERS</t>
  </si>
  <si>
    <t>MATIKU MICROFINANCE LIMITED</t>
  </si>
  <si>
    <t>TOTAL IN MICROFINANCE SERVICE PROVIDERS</t>
  </si>
  <si>
    <t>E46=MSP2_01C6, H46=MSP_01C38</t>
  </si>
  <si>
    <t>BALANCES WITH MNOs</t>
  </si>
  <si>
    <t>MPESA</t>
  </si>
  <si>
    <t>AIRTEL MONEY</t>
  </si>
  <si>
    <t>T-PESA</t>
  </si>
  <si>
    <t>HALOPESA</t>
  </si>
  <si>
    <t>TIGOPESA</t>
  </si>
  <si>
    <t>ZPESA</t>
  </si>
  <si>
    <t>TOTAL BALANCES WITH MNOs</t>
  </si>
  <si>
    <t>E56=MSP2_01C7</t>
  </si>
  <si>
    <t>TOTAL BALANCES IN TANZANIA</t>
  </si>
  <si>
    <t>E57=MSP2_01C3+MSP2_01C6+MSP2_01C7</t>
  </si>
  <si>
    <t>BANKS ABROAD</t>
  </si>
  <si>
    <t>TOTAL IN BANKS ABROAD</t>
  </si>
  <si>
    <t>H65=MSP2_01C43</t>
  </si>
  <si>
    <t>TOTAL IN BANKS</t>
  </si>
  <si>
    <t>E66=MSP2_01C3</t>
  </si>
  <si>
    <t>Return version is 0.0.0.0</t>
  </si>
  <si>
    <t>AGENT BANKING BALANCES IN BANKS AND FINANCIAL INSTITUTIONS FOR THE QUARTER ENDED:</t>
  </si>
  <si>
    <t>BOT FORM MSP2-08: To be submitted Quarterly</t>
  </si>
  <si>
    <t xml:space="preserve">Balance </t>
  </si>
  <si>
    <t>ACCESSBANK (TANZANIA) LIMITED</t>
  </si>
  <si>
    <t>TOTAL BALANCE</t>
  </si>
  <si>
    <t>C30=MSP2_01C5</t>
  </si>
  <si>
    <t xml:space="preserve">LOANS DISBURSED DURING THE QUARTER ENDED: </t>
  </si>
  <si>
    <t>BOT Form MSP2-09 To be submitted Quarterly (Amount in TZS 0.00)</t>
  </si>
  <si>
    <t>Loans Disbursed to Female</t>
  </si>
  <si>
    <t>Loans Disbursed to Male</t>
  </si>
  <si>
    <t>Total Loans Disbursed</t>
  </si>
  <si>
    <t>Number</t>
  </si>
  <si>
    <t>Number (c+ e)</t>
  </si>
  <si>
    <t>Amount (d+f)</t>
  </si>
  <si>
    <t xml:space="preserve">GEOGRAPHICAL DISTRIBUTION OF BRANCHES, EMPLOYEES AND LOANS BY AGE FOR  QUARTER ENDED: </t>
  </si>
  <si>
    <t>BOT Form MSP2-10 To be submitted Quarterly</t>
  </si>
  <si>
    <t>Geographical Area</t>
  </si>
  <si>
    <t>Number of Branches</t>
  </si>
  <si>
    <t>Number of  Employees</t>
  </si>
  <si>
    <t>Compulsory savings (Amount in TZS 0.00)</t>
  </si>
  <si>
    <t xml:space="preserve">Number of  Borrowers </t>
  </si>
  <si>
    <t xml:space="preserve">Number of Loans </t>
  </si>
  <si>
    <t xml:space="preserve"> Outstanding Loans (Amount in TZS 0.00)</t>
  </si>
  <si>
    <t>Up to 35 Years</t>
  </si>
  <si>
    <t>Above 35 Years</t>
  </si>
  <si>
    <t>Female</t>
  </si>
  <si>
    <t>Male</t>
  </si>
  <si>
    <t>l</t>
  </si>
  <si>
    <t>m</t>
  </si>
  <si>
    <t>n</t>
  </si>
  <si>
    <t>o</t>
  </si>
  <si>
    <t>p</t>
  </si>
  <si>
    <t>q</t>
  </si>
  <si>
    <t>A. Mainland Tanzania</t>
  </si>
  <si>
    <t>Arusha</t>
  </si>
  <si>
    <t>Arusha CC</t>
  </si>
  <si>
    <t>Arusha DC</t>
  </si>
  <si>
    <t>Karatu</t>
  </si>
  <si>
    <t>Longido DC</t>
  </si>
  <si>
    <t>Meru</t>
  </si>
  <si>
    <t>Monduli</t>
  </si>
  <si>
    <t>Ngorongoro</t>
  </si>
  <si>
    <t>Dar Es Salaam</t>
  </si>
  <si>
    <t>Ilala MC</t>
  </si>
  <si>
    <t>Kigamboni MC</t>
  </si>
  <si>
    <t>Kinondoni MC</t>
  </si>
  <si>
    <t>Temeke MC</t>
  </si>
  <si>
    <t>Ubungo MC</t>
  </si>
  <si>
    <t>Dodoma</t>
  </si>
  <si>
    <t>Bahi DC</t>
  </si>
  <si>
    <t>Chamwino DC</t>
  </si>
  <si>
    <t>Chemba DC</t>
  </si>
  <si>
    <t>Dodoma CC</t>
  </si>
  <si>
    <t>Kondoa DC</t>
  </si>
  <si>
    <t>Kondoa TC</t>
  </si>
  <si>
    <t>Kongwa DC</t>
  </si>
  <si>
    <t>Mpwapwa DC</t>
  </si>
  <si>
    <t>Geita</t>
  </si>
  <si>
    <t>Bukombe</t>
  </si>
  <si>
    <t>Chato DC</t>
  </si>
  <si>
    <t>Geita DC</t>
  </si>
  <si>
    <t>Geita TC</t>
  </si>
  <si>
    <t>Mbogwe DC</t>
  </si>
  <si>
    <t>Iringa</t>
  </si>
  <si>
    <t>Iringa DC</t>
  </si>
  <si>
    <t>Iringa MC</t>
  </si>
  <si>
    <t>Kilolo DC</t>
  </si>
  <si>
    <t>Mafinga TC</t>
  </si>
  <si>
    <t>Mufindi DC</t>
  </si>
  <si>
    <t>Kagera</t>
  </si>
  <si>
    <t>Biharamulo DC</t>
  </si>
  <si>
    <t>Bukoba DC</t>
  </si>
  <si>
    <t>Bukoba MC</t>
  </si>
  <si>
    <t>Karagwe DC</t>
  </si>
  <si>
    <t>Kyerwa DC</t>
  </si>
  <si>
    <t>Missenyi DC</t>
  </si>
  <si>
    <t>Muleba DC</t>
  </si>
  <si>
    <t>Ngara DC</t>
  </si>
  <si>
    <t>Katavi</t>
  </si>
  <si>
    <t>Mlele DC</t>
  </si>
  <si>
    <t>Mpanda DC</t>
  </si>
  <si>
    <t>Mpanda MC</t>
  </si>
  <si>
    <t>Mpimbwe DC</t>
  </si>
  <si>
    <t>Nsimbo DC</t>
  </si>
  <si>
    <t>Kigoma</t>
  </si>
  <si>
    <t>Buhigwe DC</t>
  </si>
  <si>
    <t>Kakonko DC</t>
  </si>
  <si>
    <t>Kasulu DC</t>
  </si>
  <si>
    <t>Kasulu TC</t>
  </si>
  <si>
    <t>Kibondo DC</t>
  </si>
  <si>
    <t>Kigoma DC</t>
  </si>
  <si>
    <t>Kigoma MC</t>
  </si>
  <si>
    <t>Uvinza DC</t>
  </si>
  <si>
    <t>Kilimanjaro</t>
  </si>
  <si>
    <t>Hai DC</t>
  </si>
  <si>
    <t>Moshi DC</t>
  </si>
  <si>
    <t>Moshi MC</t>
  </si>
  <si>
    <t>Mwanga DC</t>
  </si>
  <si>
    <t>Rombo DC</t>
  </si>
  <si>
    <t>Same DC</t>
  </si>
  <si>
    <t>Siha DC</t>
  </si>
  <si>
    <t>Lindi</t>
  </si>
  <si>
    <t>Kilwa DC</t>
  </si>
  <si>
    <t>Lindi DC</t>
  </si>
  <si>
    <t>Lindi MC</t>
  </si>
  <si>
    <t>Liwale DC</t>
  </si>
  <si>
    <t>Nachingwea DC</t>
  </si>
  <si>
    <t>Ruangwa DC</t>
  </si>
  <si>
    <t>Manyara</t>
  </si>
  <si>
    <t>Babati DC</t>
  </si>
  <si>
    <t>Babati TC</t>
  </si>
  <si>
    <t>Hanang DC</t>
  </si>
  <si>
    <t>Kiteto DC</t>
  </si>
  <si>
    <t>Mbulu DC</t>
  </si>
  <si>
    <t>Mbulu TC</t>
  </si>
  <si>
    <t>Simanjiro DC</t>
  </si>
  <si>
    <t>Mara</t>
  </si>
  <si>
    <t>Bunda DC</t>
  </si>
  <si>
    <t>Bunda TC</t>
  </si>
  <si>
    <t>Butiama DC</t>
  </si>
  <si>
    <t>Musoma DC</t>
  </si>
  <si>
    <t>Musoma MC</t>
  </si>
  <si>
    <t>Rorya DC</t>
  </si>
  <si>
    <t>Serengeti DC</t>
  </si>
  <si>
    <t>Tarime DC</t>
  </si>
  <si>
    <t>Tarime TC</t>
  </si>
  <si>
    <t>Mbeya</t>
  </si>
  <si>
    <t>Busokelo DC</t>
  </si>
  <si>
    <t>Chunya DC</t>
  </si>
  <si>
    <t>Kyela DC</t>
  </si>
  <si>
    <t>Mbarali DC</t>
  </si>
  <si>
    <t>Mbeya CC</t>
  </si>
  <si>
    <t>Mbeya DC</t>
  </si>
  <si>
    <t>Rungwe DC</t>
  </si>
  <si>
    <t>Morogoro</t>
  </si>
  <si>
    <t>Gairo DC</t>
  </si>
  <si>
    <t>Ifakara TC</t>
  </si>
  <si>
    <t>Kilombero DC</t>
  </si>
  <si>
    <t>Kilosa DC</t>
  </si>
  <si>
    <t>Morogoro DC</t>
  </si>
  <si>
    <t>Morogoro MC</t>
  </si>
  <si>
    <t>Mvomero DC</t>
  </si>
  <si>
    <t>Ulanga DC</t>
  </si>
  <si>
    <t>Mtwara</t>
  </si>
  <si>
    <t>Masasi DC</t>
  </si>
  <si>
    <t>Masasi TC</t>
  </si>
  <si>
    <t>Mtwara DC</t>
  </si>
  <si>
    <t>Mtwara MC</t>
  </si>
  <si>
    <t>Nanyamba TC</t>
  </si>
  <si>
    <t>Nanyumbu DC</t>
  </si>
  <si>
    <t>Newala DC</t>
  </si>
  <si>
    <t>Newala TC</t>
  </si>
  <si>
    <t>Tandahimba DC</t>
  </si>
  <si>
    <t>Mwanza</t>
  </si>
  <si>
    <t>Buchosa DC</t>
  </si>
  <si>
    <t>Ilemela MC</t>
  </si>
  <si>
    <t>Kwimba DC</t>
  </si>
  <si>
    <t>Magu DC</t>
  </si>
  <si>
    <t>Misungwi DC</t>
  </si>
  <si>
    <t>Sengerema DC</t>
  </si>
  <si>
    <t>Ukerewe DC</t>
  </si>
  <si>
    <t>Njombe</t>
  </si>
  <si>
    <t>Ludewa DC</t>
  </si>
  <si>
    <t>Makambako TC</t>
  </si>
  <si>
    <t>Makete DC</t>
  </si>
  <si>
    <t>Njombe DC</t>
  </si>
  <si>
    <t>Njombe TC</t>
  </si>
  <si>
    <t>Wanging'ombe DC</t>
  </si>
  <si>
    <t>Pwani</t>
  </si>
  <si>
    <t>Bagamoyo DC</t>
  </si>
  <si>
    <t>Chalinze DC</t>
  </si>
  <si>
    <t>Kibaha DC</t>
  </si>
  <si>
    <t>Kibaha TC</t>
  </si>
  <si>
    <t>Kibiti DC</t>
  </si>
  <si>
    <t>Kisarawe DC</t>
  </si>
  <si>
    <t>Mafia DC</t>
  </si>
  <si>
    <t>Mkuranga DC</t>
  </si>
  <si>
    <t>Rufiji DC</t>
  </si>
  <si>
    <t>Rukwa</t>
  </si>
  <si>
    <t>Kalambo DC</t>
  </si>
  <si>
    <t>Nkasi DC</t>
  </si>
  <si>
    <t>Sumbawanga DC</t>
  </si>
  <si>
    <t>Sumbawanga MC</t>
  </si>
  <si>
    <t>Ruvuma</t>
  </si>
  <si>
    <t>Madaba DC</t>
  </si>
  <si>
    <t>Mbinga DC</t>
  </si>
  <si>
    <t>Mbinga TC</t>
  </si>
  <si>
    <t>Namtumbo DC</t>
  </si>
  <si>
    <t>Nyasa DC</t>
  </si>
  <si>
    <t>Songea DC</t>
  </si>
  <si>
    <t>Songea MC</t>
  </si>
  <si>
    <t>Tunduru DC</t>
  </si>
  <si>
    <t>Shinyanga</t>
  </si>
  <si>
    <t>Kahama TC</t>
  </si>
  <si>
    <t>Kishapu DC</t>
  </si>
  <si>
    <t>Msalala DC</t>
  </si>
  <si>
    <t>Shinyanga DC</t>
  </si>
  <si>
    <t>Shinyanga MC</t>
  </si>
  <si>
    <t>Ushetu DC</t>
  </si>
  <si>
    <t>Simiyu</t>
  </si>
  <si>
    <t>Bariadi DC</t>
  </si>
  <si>
    <t>Bariadi TC</t>
  </si>
  <si>
    <t>Busega DC</t>
  </si>
  <si>
    <t>Itilima DC</t>
  </si>
  <si>
    <t>Maswa DC</t>
  </si>
  <si>
    <t>Meatu DC</t>
  </si>
  <si>
    <t>Singida</t>
  </si>
  <si>
    <t>Ikungi DC</t>
  </si>
  <si>
    <t>Iramba DC</t>
  </si>
  <si>
    <t>Itigi DC</t>
  </si>
  <si>
    <t>Manyoni DC</t>
  </si>
  <si>
    <t>Mkalama DC</t>
  </si>
  <si>
    <t>Singida DC</t>
  </si>
  <si>
    <t>Singida MC</t>
  </si>
  <si>
    <t>Songwe</t>
  </si>
  <si>
    <t>Ileje DC</t>
  </si>
  <si>
    <t>Mbozi DC</t>
  </si>
  <si>
    <t>Momba DC</t>
  </si>
  <si>
    <t>Songwe DC</t>
  </si>
  <si>
    <t>Tunduma TC</t>
  </si>
  <si>
    <t>Tabora</t>
  </si>
  <si>
    <t>Igunga DC</t>
  </si>
  <si>
    <t>Kaliua DC</t>
  </si>
  <si>
    <t>Nzega DC</t>
  </si>
  <si>
    <t>Nzega TC</t>
  </si>
  <si>
    <t>Sikonge DC</t>
  </si>
  <si>
    <t>Tabora DC</t>
  </si>
  <si>
    <t>Tabora MC</t>
  </si>
  <si>
    <t>Urambo DC</t>
  </si>
  <si>
    <t>Tanga</t>
  </si>
  <si>
    <t>Bumbuli DC</t>
  </si>
  <si>
    <t>Handeni DC</t>
  </si>
  <si>
    <t>Handeni TC</t>
  </si>
  <si>
    <t>Kilindi DC</t>
  </si>
  <si>
    <t>Korogwe DC</t>
  </si>
  <si>
    <t>Korogwe TC</t>
  </si>
  <si>
    <t>Lushoto DC</t>
  </si>
  <si>
    <t>Mkinga Dc</t>
  </si>
  <si>
    <t>Muheza DC</t>
  </si>
  <si>
    <t>Pangani DC</t>
  </si>
  <si>
    <t>Tanga CC</t>
  </si>
  <si>
    <t>Total Mainland</t>
  </si>
  <si>
    <t>B. Zanzibar</t>
  </si>
  <si>
    <t>Kusini Pemba</t>
  </si>
  <si>
    <t>Chakechake</t>
  </si>
  <si>
    <t xml:space="preserve">Mkoani </t>
  </si>
  <si>
    <t xml:space="preserve"> Kaskazini Pemba </t>
  </si>
  <si>
    <t>Micheweni</t>
  </si>
  <si>
    <t>Wete</t>
  </si>
  <si>
    <t>Mjini Magharibi Unguja</t>
  </si>
  <si>
    <t xml:space="preserve">Magharibi A </t>
  </si>
  <si>
    <t xml:space="preserve">Magharibi B </t>
  </si>
  <si>
    <t>Mjini</t>
  </si>
  <si>
    <t xml:space="preserve">Kaskazini Unguja </t>
  </si>
  <si>
    <t xml:space="preserve">Kaskazini A </t>
  </si>
  <si>
    <t xml:space="preserve">Kaskazini B </t>
  </si>
  <si>
    <t xml:space="preserve">Kusini Unguja </t>
  </si>
  <si>
    <t>Kati</t>
  </si>
  <si>
    <t>Kusini</t>
  </si>
  <si>
    <t>Total Zanzibar</t>
  </si>
  <si>
    <t>Grand Total</t>
  </si>
  <si>
    <t>E229=MSP2_01C46</t>
  </si>
  <si>
    <t>* Arrange regions in alphabetical order</t>
  </si>
  <si>
    <t>* CC : City Council</t>
  </si>
  <si>
    <t>* MC : Municipal</t>
  </si>
  <si>
    <t>* DC: District Council</t>
  </si>
  <si>
    <t>* TC: Town Council</t>
  </si>
  <si>
    <t>List of Banking Institutions A</t>
  </si>
  <si>
    <t>List of Banking Institutions B</t>
  </si>
  <si>
    <t>Item code</t>
  </si>
  <si>
    <t>Description</t>
  </si>
  <si>
    <t>NIL</t>
  </si>
  <si>
    <t>AFRICAN BANKING CORPORATION (T) LTD</t>
  </si>
  <si>
    <t>AKIBA COMMERCIAL BANK LTD</t>
  </si>
  <si>
    <t>ALIOS FINANCE TANZANIA LIMITED</t>
  </si>
  <si>
    <t>AMANA BANK LIMITED</t>
  </si>
  <si>
    <t>AZANIA BANK LIMITED</t>
  </si>
  <si>
    <t>BANK OF BARODA TANZANIA LIMITED</t>
  </si>
  <si>
    <t>BANK OF INDIA (TANZANIA) LIMITED</t>
  </si>
  <si>
    <t>BANK OF TANZANIA</t>
  </si>
  <si>
    <t>CANARA BANK TANZANIA LIMITED</t>
  </si>
  <si>
    <t>CHINA COMMERCIAL BANK LIMITED</t>
  </si>
  <si>
    <t>CHINA DASHENG BANK LIMITED</t>
  </si>
  <si>
    <t>CITIBANK (T) LTD</t>
  </si>
  <si>
    <t>COMMERCIAL BANK OF AFRICA (T) LIMITED</t>
  </si>
  <si>
    <t>CRDB BANK PLC</t>
  </si>
  <si>
    <t>DCB COMMERCIAL BANK PLC</t>
  </si>
  <si>
    <t>DIAMOND TRUST BANK (T) LTD.</t>
  </si>
  <si>
    <t>EFC M.F.B TANZANIA LIMITED</t>
  </si>
  <si>
    <t>EQUITY BANK TANZANIA LIMITED</t>
  </si>
  <si>
    <t>EXIM BANK TANZANIA LIMITED</t>
  </si>
  <si>
    <t>FINCA M.F.B TANZANIA LIMITED</t>
  </si>
  <si>
    <t>FIRST NATIONAL BANK TANZANIA LIMITED</t>
  </si>
  <si>
    <t>GUARANTY TRUST BANK (TANZANIA) LIMITED</t>
  </si>
  <si>
    <t>FIRST HOUSING FINANCE (TANZANIA) LIMITED</t>
  </si>
  <si>
    <t>HABIB AFRICAN BANK</t>
  </si>
  <si>
    <t>HAKIKA MICROFINANCE BANK LIMITED</t>
  </si>
  <si>
    <t>I &amp; M BANK TANZANIA LIMITED</t>
  </si>
  <si>
    <t>INTERNATIONAL COMMERCIAL BANK  (T) LTD.</t>
  </si>
  <si>
    <t>KCB BANK TANZANIA LIMITED</t>
  </si>
  <si>
    <t>KILIMANJARO COOPERATIVE BANK</t>
  </si>
  <si>
    <t>LETSHEGO BANK (T) LIMITED</t>
  </si>
  <si>
    <t>MAENDELEO BANK PLC</t>
  </si>
  <si>
    <t>MKOMBOZI COMMERCIAL BANK LIMITED</t>
  </si>
  <si>
    <t>MUFINDI COMMUNITY BANK LTD</t>
  </si>
  <si>
    <t>MWALIMU COMMERCIAL BANK PUBLIC LIMITED COMPANY</t>
  </si>
  <si>
    <t>MWANGA RURAL COMMUNITY BANK</t>
  </si>
  <si>
    <t>NBC LIMITED</t>
  </si>
  <si>
    <t>NIC BANK TANZANIA LIMITED</t>
  </si>
  <si>
    <t>PEOPLES BANK OF ZANZIBAR</t>
  </si>
  <si>
    <t>TANDAHIMBA COMMUNITY BANK LTD</t>
  </si>
  <si>
    <t>TANZANIA AGRICULTURAL DEVELOPMENT BANK</t>
  </si>
  <si>
    <t>TANZANIA POSTAL BANK</t>
  </si>
  <si>
    <t>TIB CORPORATE FINANCE LIMITED</t>
  </si>
  <si>
    <t>TIB DEVELOPMENT BANK LIMITED</t>
  </si>
  <si>
    <t>TANZANIA MORTGAGE REFINANCE COMPANY LTD</t>
  </si>
  <si>
    <t>UCHUMI COMMERCIAL BANK LIMITED</t>
  </si>
  <si>
    <t>UNITED BANK FOR AFRICA</t>
  </si>
  <si>
    <t>VISION FUND TANZANIA M.F.C LIMITED</t>
  </si>
  <si>
    <t>YETU MICROFINANCE PLC</t>
  </si>
  <si>
    <t xml:space="preserve">SECTORAL CLASSIFICATION OF MICROFINANCE LOANS AS AT : </t>
  </si>
  <si>
    <t xml:space="preserve">BOT Form MSP2-03 To be submitted Quarterly (Amount in TZS 0.00) </t>
  </si>
  <si>
    <t xml:space="preserve">                        </t>
  </si>
  <si>
    <t>Loans classification on days past due</t>
  </si>
  <si>
    <t>0-5 days</t>
  </si>
  <si>
    <t>6-30 days</t>
  </si>
  <si>
    <t>31-60 days</t>
  </si>
  <si>
    <t>61-90 days</t>
  </si>
  <si>
    <t>&gt; 90 days</t>
  </si>
  <si>
    <t>Housing Microfinance Loans Classification</t>
  </si>
  <si>
    <t>91-180 days</t>
  </si>
  <si>
    <t>181-360 days</t>
  </si>
  <si>
    <t>&gt; 360 days</t>
  </si>
  <si>
    <t xml:space="preserve">NOTE: </t>
  </si>
  <si>
    <t>NB</t>
  </si>
  <si>
    <t>Total outstanding =Current +ESM+Substandard+ Doubtful+Loss for each Individual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</si>
</sst>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]dd/mm/yyyy;@"/>
    <numFmt numFmtId="165" formatCode="dd\/mm\/yyyy"/>
    <numFmt numFmtId="166" formatCode="_(* #,##0_);_(* \(#,##0\);_(* &quot;-&quot;??_);_(@_)"/>
    <numFmt numFmtId="167" formatCode="0.0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238"/>
      <scheme val="minor"/>
    </font>
    <font>
      <sz val="8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sz val="8"/>
      <color theme="1"/>
      <name val="Arial"/>
      <family val="2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10"/>
      <color theme="4" tint="-0.249977111117893"/>
      <name val="Arial"/>
      <family val="2"/>
    </font>
    <font>
      <b/>
      <sz val="10"/>
      <color theme="4"/>
      <name val="Arial"/>
      <family val="2"/>
    </font>
    <font>
      <sz val="10"/>
      <name val="Arial"/>
      <family val="2"/>
      <charset val="238"/>
    </font>
    <font>
      <b/>
      <sz val="12"/>
      <name val="Arial"/>
      <family val="2"/>
    </font>
    <font>
      <b/>
      <sz val="10"/>
      <name val="Arial"/>
      <family val="2"/>
      <charset val="238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8"/>
      <color theme="4" tint="-0.24997711111789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8" fillId="0" borderId="0"/>
    <xf numFmtId="43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4" fillId="0" borderId="0"/>
  </cellStyleXfs>
  <cellXfs count="342">
    <xf numFmtId="0" fontId="0" fillId="0" borderId="0" xfId="0"/>
    <xf numFmtId="0" fontId="2" fillId="2" borderId="0" xfId="2" applyFont="1" applyFill="1" applyBorder="1" applyProtection="1"/>
    <xf numFmtId="3" fontId="3" fillId="0" borderId="1" xfId="0" applyNumberFormat="1" applyFont="1" applyFill="1" applyBorder="1" applyProtection="1"/>
    <xf numFmtId="0" fontId="3" fillId="0" borderId="0" xfId="0" applyFont="1" applyFill="1" applyProtection="1"/>
    <xf numFmtId="3" fontId="3" fillId="0" borderId="2" xfId="3" applyNumberFormat="1" applyFont="1" applyFill="1" applyBorder="1" applyProtection="1"/>
    <xf numFmtId="3" fontId="2" fillId="0" borderId="2" xfId="3" applyNumberFormat="1" applyFont="1" applyFill="1" applyBorder="1" applyProtection="1"/>
    <xf numFmtId="3" fontId="3" fillId="3" borderId="3" xfId="3" applyNumberFormat="1" applyFont="1" applyFill="1" applyBorder="1" applyAlignment="1" applyProtection="1">
      <alignment horizontal="left"/>
      <protection locked="0"/>
    </xf>
    <xf numFmtId="3" fontId="3" fillId="3" borderId="4" xfId="3" applyNumberFormat="1" applyFont="1" applyFill="1" applyBorder="1" applyAlignment="1" applyProtection="1">
      <alignment horizontal="left"/>
      <protection locked="0"/>
    </xf>
    <xf numFmtId="3" fontId="3" fillId="3" borderId="5" xfId="3" applyNumberFormat="1" applyFont="1" applyFill="1" applyBorder="1" applyAlignment="1" applyProtection="1">
      <alignment horizontal="left"/>
      <protection locked="0"/>
    </xf>
    <xf numFmtId="0" fontId="4" fillId="2" borderId="0" xfId="2" applyFont="1" applyFill="1" applyBorder="1" applyProtection="1"/>
    <xf numFmtId="0" fontId="3" fillId="2" borderId="0" xfId="2" applyFont="1" applyFill="1" applyBorder="1" applyProtection="1"/>
    <xf numFmtId="3" fontId="3" fillId="0" borderId="4" xfId="0" applyNumberFormat="1" applyFont="1" applyFill="1" applyBorder="1" applyProtection="1"/>
    <xf numFmtId="3" fontId="3" fillId="2" borderId="0" xfId="3" applyNumberFormat="1" applyFont="1" applyFill="1" applyBorder="1" applyProtection="1"/>
    <xf numFmtId="3" fontId="3" fillId="3" borderId="3" xfId="3" applyNumberFormat="1" applyFont="1" applyFill="1" applyBorder="1" applyProtection="1">
      <protection locked="0"/>
    </xf>
    <xf numFmtId="3" fontId="3" fillId="3" borderId="4" xfId="3" applyNumberFormat="1" applyFont="1" applyFill="1" applyBorder="1" applyProtection="1">
      <protection locked="0"/>
    </xf>
    <xf numFmtId="3" fontId="3" fillId="3" borderId="5" xfId="3" applyNumberFormat="1" applyFont="1" applyFill="1" applyBorder="1" applyProtection="1">
      <protection locked="0"/>
    </xf>
    <xf numFmtId="3" fontId="3" fillId="0" borderId="0" xfId="0" applyNumberFormat="1" applyFont="1" applyFill="1" applyProtection="1"/>
    <xf numFmtId="0" fontId="3" fillId="0" borderId="6" xfId="0" applyFont="1" applyFill="1" applyBorder="1" applyAlignment="1" applyProtection="1">
      <alignment horizontal="left"/>
    </xf>
    <xf numFmtId="164" fontId="3" fillId="3" borderId="2" xfId="3" applyNumberFormat="1" applyFont="1" applyFill="1" applyBorder="1" applyAlignment="1" applyProtection="1">
      <alignment horizontal="left"/>
      <protection locked="0"/>
    </xf>
    <xf numFmtId="0" fontId="3" fillId="0" borderId="0" xfId="0" applyFont="1" applyFill="1" applyAlignment="1" applyProtection="1">
      <alignment horizontal="left"/>
    </xf>
    <xf numFmtId="43" fontId="2" fillId="2" borderId="0" xfId="4" applyFont="1" applyFill="1" applyProtection="1"/>
    <xf numFmtId="0" fontId="3" fillId="2" borderId="0" xfId="2" applyFont="1" applyFill="1" applyBorder="1" applyAlignment="1" applyProtection="1">
      <alignment horizontal="left"/>
    </xf>
    <xf numFmtId="3" fontId="5" fillId="0" borderId="0" xfId="0" applyNumberFormat="1" applyFont="1" applyFill="1" applyProtection="1"/>
    <xf numFmtId="0" fontId="5" fillId="0" borderId="0" xfId="0" applyFont="1" applyFill="1" applyProtection="1"/>
    <xf numFmtId="0" fontId="2" fillId="4" borderId="0" xfId="2" applyFont="1" applyFill="1" applyBorder="1" applyAlignment="1" applyProtection="1"/>
    <xf numFmtId="0" fontId="3" fillId="0" borderId="0" xfId="0" applyFont="1" applyFill="1" applyAlignment="1" applyProtection="1">
      <alignment horizontal="left"/>
    </xf>
    <xf numFmtId="3" fontId="2" fillId="0" borderId="0" xfId="0" applyNumberFormat="1" applyFont="1" applyFill="1" applyBorder="1" applyProtection="1"/>
    <xf numFmtId="0" fontId="2" fillId="0" borderId="0" xfId="0" applyFont="1" applyFill="1" applyBorder="1" applyProtection="1"/>
    <xf numFmtId="0" fontId="2" fillId="2" borderId="0" xfId="2" applyFont="1" applyFill="1" applyBorder="1" applyAlignment="1" applyProtection="1">
      <alignment horizontal="left"/>
    </xf>
    <xf numFmtId="0" fontId="3" fillId="0" borderId="0" xfId="0" applyFont="1" applyFill="1" applyBorder="1" applyAlignment="1" applyProtection="1">
      <alignment horizontal="left"/>
    </xf>
    <xf numFmtId="0" fontId="3" fillId="0" borderId="0" xfId="0" applyFont="1" applyFill="1" applyBorder="1" applyProtection="1"/>
    <xf numFmtId="0" fontId="3" fillId="4" borderId="2" xfId="2" applyFont="1" applyFill="1" applyBorder="1" applyAlignment="1" applyProtection="1">
      <alignment horizontal="center"/>
    </xf>
    <xf numFmtId="0" fontId="3" fillId="4" borderId="2" xfId="2" applyFont="1" applyFill="1" applyBorder="1" applyAlignment="1" applyProtection="1">
      <alignment horizontal="center" wrapText="1" shrinkToFit="1"/>
    </xf>
    <xf numFmtId="3" fontId="3" fillId="4" borderId="2" xfId="2" applyNumberFormat="1" applyFont="1" applyFill="1" applyBorder="1" applyAlignment="1" applyProtection="1">
      <alignment horizontal="center" wrapText="1" shrinkToFit="1"/>
    </xf>
    <xf numFmtId="43" fontId="3" fillId="4" borderId="2" xfId="4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2" fillId="4" borderId="2" xfId="2" applyFont="1" applyFill="1" applyBorder="1" applyAlignment="1" applyProtection="1">
      <alignment horizontal="center"/>
    </xf>
    <xf numFmtId="0" fontId="2" fillId="4" borderId="2" xfId="2" applyFont="1" applyFill="1" applyBorder="1" applyAlignment="1" applyProtection="1">
      <alignment wrapText="1" shrinkToFit="1"/>
    </xf>
    <xf numFmtId="3" fontId="3" fillId="4" borderId="2" xfId="4" applyNumberFormat="1" applyFont="1" applyFill="1" applyBorder="1" applyAlignment="1" applyProtection="1">
      <alignment shrinkToFit="1"/>
    </xf>
    <xf numFmtId="43" fontId="2" fillId="4" borderId="2" xfId="4" applyFont="1" applyFill="1" applyBorder="1" applyProtection="1"/>
    <xf numFmtId="3" fontId="2" fillId="3" borderId="2" xfId="3" applyNumberFormat="1" applyFont="1" applyFill="1" applyBorder="1" applyProtection="1">
      <protection locked="0"/>
    </xf>
    <xf numFmtId="0" fontId="2" fillId="0" borderId="0" xfId="0" applyFont="1" applyFill="1" applyProtection="1"/>
    <xf numFmtId="0" fontId="2" fillId="4" borderId="2" xfId="2" applyFont="1" applyFill="1" applyBorder="1" applyAlignment="1" applyProtection="1">
      <alignment horizontal="left" wrapText="1" indent="3" shrinkToFit="1"/>
    </xf>
    <xf numFmtId="3" fontId="2" fillId="4" borderId="2" xfId="4" applyNumberFormat="1" applyFont="1" applyFill="1" applyBorder="1" applyProtection="1"/>
    <xf numFmtId="0" fontId="2" fillId="4" borderId="2" xfId="0" applyFont="1" applyFill="1" applyBorder="1" applyAlignment="1" applyProtection="1">
      <alignment wrapText="1" shrinkToFit="1"/>
    </xf>
    <xf numFmtId="0" fontId="3" fillId="4" borderId="2" xfId="2" applyFont="1" applyFill="1" applyBorder="1" applyAlignment="1" applyProtection="1">
      <alignment wrapText="1" shrinkToFit="1"/>
    </xf>
    <xf numFmtId="43" fontId="3" fillId="4" borderId="2" xfId="4" applyFont="1" applyFill="1" applyBorder="1" applyProtection="1"/>
    <xf numFmtId="3" fontId="6" fillId="4" borderId="2" xfId="4" applyNumberFormat="1" applyFont="1" applyFill="1" applyBorder="1" applyAlignment="1" applyProtection="1">
      <alignment shrinkToFit="1"/>
    </xf>
    <xf numFmtId="3" fontId="3" fillId="4" borderId="2" xfId="2" applyNumberFormat="1" applyFont="1" applyFill="1" applyBorder="1" applyProtection="1"/>
    <xf numFmtId="0" fontId="2" fillId="4" borderId="2" xfId="0" applyFont="1" applyFill="1" applyBorder="1" applyAlignment="1" applyProtection="1">
      <alignment horizontal="left" wrapText="1" shrinkToFit="1"/>
    </xf>
    <xf numFmtId="0" fontId="2" fillId="4" borderId="2" xfId="0" applyFont="1" applyFill="1" applyBorder="1" applyAlignment="1" applyProtection="1">
      <alignment horizontal="left" wrapText="1" indent="1" shrinkToFit="1"/>
    </xf>
    <xf numFmtId="0" fontId="2" fillId="0" borderId="0" xfId="0" applyFont="1" applyFill="1" applyAlignment="1" applyProtection="1">
      <alignment horizontal="center"/>
    </xf>
    <xf numFmtId="3" fontId="2" fillId="0" borderId="0" xfId="0" applyNumberFormat="1" applyFont="1" applyFill="1" applyProtection="1"/>
    <xf numFmtId="0" fontId="2" fillId="0" borderId="1" xfId="5" applyFont="1" applyBorder="1" applyProtection="1"/>
    <xf numFmtId="0" fontId="7" fillId="0" borderId="0" xfId="0" applyFont="1" applyProtection="1"/>
    <xf numFmtId="3" fontId="3" fillId="0" borderId="2" xfId="1" applyNumberFormat="1" applyFont="1" applyFill="1" applyBorder="1" applyProtection="1"/>
    <xf numFmtId="3" fontId="2" fillId="0" borderId="2" xfId="1" applyNumberFormat="1" applyFont="1" applyFill="1" applyBorder="1" applyProtection="1"/>
    <xf numFmtId="3" fontId="3" fillId="0" borderId="3" xfId="1" applyNumberFormat="1" applyFont="1" applyFill="1" applyBorder="1" applyAlignment="1" applyProtection="1"/>
    <xf numFmtId="3" fontId="3" fillId="0" borderId="4" xfId="1" applyNumberFormat="1" applyFont="1" applyFill="1" applyBorder="1" applyAlignment="1" applyProtection="1"/>
    <xf numFmtId="3" fontId="3" fillId="0" borderId="5" xfId="1" applyNumberFormat="1" applyFont="1" applyFill="1" applyBorder="1" applyAlignment="1" applyProtection="1"/>
    <xf numFmtId="0" fontId="3" fillId="4" borderId="0" xfId="5" applyFont="1" applyFill="1" applyBorder="1" applyProtection="1"/>
    <xf numFmtId="3" fontId="2" fillId="0" borderId="4" xfId="1" applyNumberFormat="1" applyFont="1" applyBorder="1" applyProtection="1"/>
    <xf numFmtId="3" fontId="3" fillId="0" borderId="2" xfId="1" applyNumberFormat="1" applyFont="1" applyFill="1" applyBorder="1" applyProtection="1"/>
    <xf numFmtId="0" fontId="3" fillId="4" borderId="0" xfId="5" applyFont="1" applyFill="1" applyProtection="1"/>
    <xf numFmtId="0" fontId="7" fillId="0" borderId="0" xfId="0" applyFont="1" applyProtection="1"/>
    <xf numFmtId="0" fontId="3" fillId="4" borderId="0" xfId="5" applyFont="1" applyFill="1" applyBorder="1" applyAlignment="1" applyProtection="1">
      <alignment horizontal="left"/>
    </xf>
    <xf numFmtId="164" fontId="3" fillId="0" borderId="2" xfId="1" applyNumberFormat="1" applyFont="1" applyFill="1" applyBorder="1" applyAlignment="1" applyProtection="1">
      <alignment horizontal="left"/>
    </xf>
    <xf numFmtId="3" fontId="2" fillId="4" borderId="0" xfId="1" applyNumberFormat="1" applyFont="1" applyFill="1" applyBorder="1" applyProtection="1"/>
    <xf numFmtId="0" fontId="2" fillId="4" borderId="0" xfId="5" applyFont="1" applyFill="1" applyBorder="1" applyAlignment="1" applyProtection="1">
      <alignment horizontal="left"/>
    </xf>
    <xf numFmtId="3" fontId="2" fillId="4" borderId="0" xfId="1" applyNumberFormat="1" applyFont="1" applyFill="1" applyBorder="1" applyAlignment="1" applyProtection="1">
      <alignment horizontal="center"/>
    </xf>
    <xf numFmtId="0" fontId="2" fillId="0" borderId="0" xfId="5" applyFont="1" applyProtection="1"/>
    <xf numFmtId="3" fontId="2" fillId="0" borderId="0" xfId="1" applyNumberFormat="1" applyFont="1" applyProtection="1"/>
    <xf numFmtId="3" fontId="3" fillId="4" borderId="2" xfId="1" applyNumberFormat="1" applyFont="1" applyFill="1" applyBorder="1" applyAlignment="1" applyProtection="1">
      <alignment horizontal="center" wrapText="1" shrinkToFit="1"/>
    </xf>
    <xf numFmtId="3" fontId="2" fillId="4" borderId="2" xfId="1" applyNumberFormat="1" applyFont="1" applyFill="1" applyBorder="1" applyAlignment="1" applyProtection="1">
      <alignment horizontal="center" wrapText="1" shrinkToFit="1"/>
    </xf>
    <xf numFmtId="0" fontId="7" fillId="0" borderId="2" xfId="0" applyFont="1" applyBorder="1" applyProtection="1"/>
    <xf numFmtId="0" fontId="3" fillId="4" borderId="2" xfId="5" applyFont="1" applyFill="1" applyBorder="1" applyAlignment="1" applyProtection="1">
      <alignment horizontal="center"/>
    </xf>
    <xf numFmtId="3" fontId="3" fillId="4" borderId="2" xfId="1" applyNumberFormat="1" applyFont="1" applyFill="1" applyBorder="1" applyAlignment="1" applyProtection="1">
      <alignment horizontal="center"/>
    </xf>
    <xf numFmtId="0" fontId="9" fillId="0" borderId="7" xfId="6" applyFont="1" applyFill="1" applyBorder="1" applyAlignment="1" applyProtection="1">
      <alignment horizontal="center" vertical="center"/>
    </xf>
    <xf numFmtId="3" fontId="3" fillId="4" borderId="2" xfId="1" applyNumberFormat="1" applyFont="1" applyFill="1" applyBorder="1" applyAlignment="1" applyProtection="1">
      <alignment shrinkToFit="1"/>
    </xf>
    <xf numFmtId="3" fontId="2" fillId="3" borderId="2" xfId="1" applyNumberFormat="1" applyFont="1" applyFill="1" applyBorder="1" applyProtection="1">
      <protection locked="0"/>
    </xf>
    <xf numFmtId="0" fontId="2" fillId="0" borderId="2" xfId="5" applyFont="1" applyBorder="1" applyProtection="1"/>
    <xf numFmtId="1" fontId="3" fillId="4" borderId="2" xfId="7" applyNumberFormat="1" applyFont="1" applyFill="1" applyBorder="1" applyAlignment="1" applyProtection="1">
      <alignment shrinkToFit="1"/>
    </xf>
    <xf numFmtId="3" fontId="7" fillId="0" borderId="0" xfId="1" applyNumberFormat="1" applyFont="1" applyProtection="1"/>
    <xf numFmtId="0" fontId="3" fillId="4" borderId="8" xfId="2" applyFont="1" applyFill="1" applyBorder="1" applyAlignment="1" applyProtection="1">
      <alignment horizontal="center" vertical="center"/>
    </xf>
    <xf numFmtId="0" fontId="3" fillId="4" borderId="8" xfId="2" applyFont="1" applyFill="1" applyBorder="1" applyAlignment="1" applyProtection="1">
      <alignment horizontal="center" vertical="center" wrapText="1" shrinkToFit="1"/>
    </xf>
    <xf numFmtId="0" fontId="3" fillId="4" borderId="8" xfId="2" applyFont="1" applyFill="1" applyBorder="1" applyAlignment="1" applyProtection="1">
      <alignment horizontal="center" vertical="center" wrapText="1"/>
    </xf>
    <xf numFmtId="0" fontId="3" fillId="4" borderId="3" xfId="2" applyFont="1" applyFill="1" applyBorder="1" applyAlignment="1" applyProtection="1">
      <alignment horizontal="center" vertical="center" wrapText="1" shrinkToFit="1"/>
    </xf>
    <xf numFmtId="0" fontId="3" fillId="4" borderId="4" xfId="2" applyFont="1" applyFill="1" applyBorder="1" applyAlignment="1" applyProtection="1">
      <alignment horizontal="center" vertical="center" wrapText="1" shrinkToFit="1"/>
    </xf>
    <xf numFmtId="0" fontId="3" fillId="4" borderId="5" xfId="2" applyFont="1" applyFill="1" applyBorder="1" applyAlignment="1" applyProtection="1">
      <alignment horizontal="center" vertical="center" wrapText="1" shrinkToFit="1"/>
    </xf>
    <xf numFmtId="0" fontId="3" fillId="4" borderId="9" xfId="2" applyFont="1" applyFill="1" applyBorder="1" applyAlignment="1" applyProtection="1">
      <alignment horizontal="left" vertical="center" wrapText="1" shrinkToFit="1"/>
    </xf>
    <xf numFmtId="0" fontId="3" fillId="4" borderId="2" xfId="2" applyFont="1" applyFill="1" applyBorder="1" applyAlignment="1" applyProtection="1">
      <alignment horizontal="center" vertical="center" wrapText="1" shrinkToFit="1"/>
    </xf>
    <xf numFmtId="0" fontId="3" fillId="4" borderId="7" xfId="2" applyFont="1" applyFill="1" applyBorder="1" applyAlignment="1" applyProtection="1">
      <alignment horizontal="center" vertical="center"/>
    </xf>
    <xf numFmtId="0" fontId="3" fillId="4" borderId="7" xfId="2" applyFont="1" applyFill="1" applyBorder="1" applyAlignment="1" applyProtection="1">
      <alignment horizontal="center" vertical="center" wrapText="1" shrinkToFit="1"/>
    </xf>
    <xf numFmtId="0" fontId="3" fillId="4" borderId="7" xfId="2" applyFont="1" applyFill="1" applyBorder="1" applyAlignment="1" applyProtection="1">
      <alignment horizontal="center" vertical="center" wrapText="1"/>
    </xf>
    <xf numFmtId="0" fontId="3" fillId="4" borderId="10" xfId="2" applyFont="1" applyFill="1" applyBorder="1" applyAlignment="1" applyProtection="1">
      <alignment horizontal="left" vertical="center" wrapText="1" shrinkToFit="1"/>
    </xf>
    <xf numFmtId="0" fontId="3" fillId="0" borderId="7" xfId="6" applyFont="1" applyFill="1" applyBorder="1" applyAlignment="1" applyProtection="1">
      <alignment horizontal="center" vertical="center"/>
    </xf>
    <xf numFmtId="0" fontId="3" fillId="0" borderId="2" xfId="6" applyFont="1" applyFill="1" applyBorder="1" applyAlignment="1" applyProtection="1">
      <alignment horizontal="center"/>
    </xf>
    <xf numFmtId="0" fontId="3" fillId="0" borderId="7" xfId="6" applyFont="1" applyFill="1" applyBorder="1" applyAlignment="1" applyProtection="1">
      <alignment horizontal="center" wrapText="1"/>
    </xf>
    <xf numFmtId="0" fontId="3" fillId="0" borderId="7" xfId="6" applyFont="1" applyFill="1" applyBorder="1" applyAlignment="1" applyProtection="1">
      <alignment horizontal="center"/>
    </xf>
    <xf numFmtId="0" fontId="3" fillId="0" borderId="3" xfId="6" applyFont="1" applyFill="1" applyBorder="1" applyAlignment="1" applyProtection="1">
      <alignment horizontal="center"/>
    </xf>
    <xf numFmtId="0" fontId="2" fillId="0" borderId="2" xfId="6" applyFont="1" applyFill="1" applyBorder="1" applyProtection="1"/>
    <xf numFmtId="0" fontId="2" fillId="0" borderId="7" xfId="6" applyFont="1" applyFill="1" applyBorder="1" applyAlignment="1" applyProtection="1">
      <alignment horizontal="center" vertical="center"/>
    </xf>
    <xf numFmtId="3" fontId="2" fillId="2" borderId="2" xfId="3" applyNumberFormat="1" applyFont="1" applyFill="1" applyBorder="1" applyProtection="1"/>
    <xf numFmtId="3" fontId="2" fillId="3" borderId="3" xfId="3" applyNumberFormat="1" applyFont="1" applyFill="1" applyBorder="1" applyProtection="1">
      <protection locked="0"/>
    </xf>
    <xf numFmtId="0" fontId="3" fillId="0" borderId="11" xfId="6" applyFont="1" applyFill="1" applyBorder="1" applyProtection="1"/>
    <xf numFmtId="0" fontId="2" fillId="0" borderId="0" xfId="6" applyFont="1" applyFill="1" applyProtection="1"/>
    <xf numFmtId="3" fontId="6" fillId="2" borderId="2" xfId="3" applyNumberFormat="1" applyFont="1" applyFill="1" applyBorder="1" applyProtection="1"/>
    <xf numFmtId="3" fontId="3" fillId="2" borderId="2" xfId="3" applyNumberFormat="1" applyFont="1" applyFill="1" applyBorder="1" applyProtection="1"/>
    <xf numFmtId="3" fontId="6" fillId="0" borderId="2" xfId="3" applyNumberFormat="1" applyFont="1" applyFill="1" applyBorder="1" applyProtection="1"/>
    <xf numFmtId="9" fontId="2" fillId="0" borderId="2" xfId="3" applyNumberFormat="1" applyFont="1" applyFill="1" applyBorder="1" applyProtection="1"/>
    <xf numFmtId="3" fontId="10" fillId="0" borderId="3" xfId="3" applyNumberFormat="1" applyFont="1" applyFill="1" applyBorder="1" applyProtection="1">
      <protection locked="0"/>
    </xf>
    <xf numFmtId="3" fontId="2" fillId="0" borderId="0" xfId="6" applyNumberFormat="1" applyFont="1" applyFill="1" applyProtection="1"/>
    <xf numFmtId="3" fontId="3" fillId="2" borderId="3" xfId="3" applyNumberFormat="1" applyFont="1" applyFill="1" applyBorder="1" applyProtection="1"/>
    <xf numFmtId="10" fontId="11" fillId="0" borderId="2" xfId="6" applyNumberFormat="1" applyFont="1" applyFill="1" applyBorder="1" applyProtection="1"/>
    <xf numFmtId="0" fontId="12" fillId="0" borderId="2" xfId="6" applyFont="1" applyFill="1" applyBorder="1" applyProtection="1"/>
    <xf numFmtId="0" fontId="9" fillId="0" borderId="2" xfId="6" applyFont="1" applyFill="1" applyBorder="1" applyProtection="1"/>
    <xf numFmtId="0" fontId="7" fillId="0" borderId="0" xfId="0" applyFont="1" applyAlignment="1" applyProtection="1">
      <alignment horizontal="center"/>
    </xf>
    <xf numFmtId="0" fontId="2" fillId="0" borderId="0" xfId="0" applyFont="1" applyProtection="1"/>
    <xf numFmtId="0" fontId="3" fillId="5" borderId="0" xfId="6" applyFont="1" applyFill="1" applyBorder="1" applyAlignment="1" applyProtection="1"/>
    <xf numFmtId="3" fontId="3" fillId="0" borderId="2" xfId="3" applyNumberFormat="1" applyFont="1" applyFill="1" applyBorder="1" applyAlignment="1" applyProtection="1">
      <alignment horizontal="left"/>
    </xf>
    <xf numFmtId="0" fontId="3" fillId="5" borderId="0" xfId="0" applyFont="1" applyFill="1" applyProtection="1"/>
    <xf numFmtId="0" fontId="3" fillId="5" borderId="0" xfId="0" applyFont="1" applyFill="1" applyBorder="1" applyProtection="1"/>
    <xf numFmtId="0" fontId="11" fillId="5" borderId="0" xfId="0" applyFont="1" applyFill="1" applyBorder="1" applyProtection="1"/>
    <xf numFmtId="0" fontId="3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/>
    </xf>
    <xf numFmtId="3" fontId="3" fillId="0" borderId="2" xfId="3" applyNumberFormat="1" applyFont="1" applyFill="1" applyBorder="1" applyAlignment="1" applyProtection="1">
      <alignment horizontal="left"/>
    </xf>
    <xf numFmtId="0" fontId="3" fillId="4" borderId="0" xfId="2" applyFont="1" applyFill="1" applyProtection="1"/>
    <xf numFmtId="164" fontId="3" fillId="0" borderId="2" xfId="3" applyNumberFormat="1" applyFont="1" applyFill="1" applyBorder="1" applyAlignment="1" applyProtection="1">
      <alignment horizontal="left"/>
    </xf>
    <xf numFmtId="165" fontId="3" fillId="5" borderId="0" xfId="0" applyNumberFormat="1" applyFont="1" applyFill="1" applyBorder="1" applyAlignment="1" applyProtection="1">
      <alignment horizontal="center"/>
    </xf>
    <xf numFmtId="0" fontId="2" fillId="4" borderId="0" xfId="5" applyFont="1" applyFill="1" applyProtection="1"/>
    <xf numFmtId="0" fontId="2" fillId="5" borderId="0" xfId="0" applyFont="1" applyFill="1" applyAlignment="1" applyProtection="1"/>
    <xf numFmtId="0" fontId="3" fillId="5" borderId="1" xfId="0" applyFont="1" applyFill="1" applyBorder="1" applyAlignment="1" applyProtection="1">
      <alignment horizontal="right"/>
    </xf>
    <xf numFmtId="0" fontId="3" fillId="4" borderId="8" xfId="2" applyFont="1" applyFill="1" applyBorder="1" applyAlignment="1" applyProtection="1">
      <alignment horizontal="center" wrapText="1" shrinkToFit="1"/>
    </xf>
    <xf numFmtId="0" fontId="3" fillId="6" borderId="8" xfId="0" applyFont="1" applyFill="1" applyBorder="1" applyAlignment="1" applyProtection="1">
      <alignment horizontal="center" vertical="center" wrapText="1"/>
    </xf>
    <xf numFmtId="0" fontId="3" fillId="6" borderId="3" xfId="0" applyFont="1" applyFill="1" applyBorder="1" applyAlignment="1" applyProtection="1">
      <alignment horizontal="center" vertical="center" wrapText="1"/>
    </xf>
    <xf numFmtId="0" fontId="3" fillId="6" borderId="5" xfId="0" applyFont="1" applyFill="1" applyBorder="1" applyAlignment="1" applyProtection="1">
      <alignment horizontal="center" vertical="center" wrapText="1"/>
    </xf>
    <xf numFmtId="0" fontId="3" fillId="4" borderId="7" xfId="2" applyFont="1" applyFill="1" applyBorder="1" applyAlignment="1" applyProtection="1">
      <alignment horizontal="center" wrapText="1" shrinkToFit="1"/>
    </xf>
    <xf numFmtId="0" fontId="3" fillId="6" borderId="7" xfId="0" applyFont="1" applyFill="1" applyBorder="1" applyAlignment="1" applyProtection="1">
      <alignment horizontal="center" vertical="center" wrapText="1"/>
    </xf>
    <xf numFmtId="0" fontId="3" fillId="6" borderId="2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/>
    </xf>
    <xf numFmtId="0" fontId="11" fillId="0" borderId="0" xfId="0" applyFont="1" applyFill="1" applyBorder="1" applyAlignment="1" applyProtection="1">
      <alignment horizontal="center"/>
    </xf>
    <xf numFmtId="0" fontId="2" fillId="4" borderId="2" xfId="2" applyFont="1" applyFill="1" applyBorder="1" applyAlignment="1" applyProtection="1">
      <alignment vertical="center" wrapText="1" shrinkToFit="1"/>
    </xf>
    <xf numFmtId="3" fontId="10" fillId="2" borderId="2" xfId="3" applyNumberFormat="1" applyFont="1" applyFill="1" applyBorder="1" applyProtection="1"/>
    <xf numFmtId="166" fontId="3" fillId="0" borderId="0" xfId="3" applyNumberFormat="1" applyFont="1" applyFill="1" applyProtection="1"/>
    <xf numFmtId="166" fontId="3" fillId="0" borderId="0" xfId="3" applyNumberFormat="1" applyFont="1" applyFill="1" applyBorder="1" applyProtection="1"/>
    <xf numFmtId="0" fontId="7" fillId="0" borderId="0" xfId="0" applyFont="1" applyBorder="1" applyAlignment="1" applyProtection="1">
      <alignment horizontal="center" vertical="center" wrapText="1"/>
    </xf>
    <xf numFmtId="0" fontId="13" fillId="0" borderId="0" xfId="0" applyFont="1" applyBorder="1" applyAlignment="1" applyProtection="1">
      <alignment horizontal="center" vertical="center" wrapText="1"/>
    </xf>
    <xf numFmtId="0" fontId="7" fillId="0" borderId="7" xfId="0" applyFont="1" applyBorder="1" applyAlignment="1" applyProtection="1">
      <alignment horizontal="center" vertical="center" wrapText="1"/>
    </xf>
    <xf numFmtId="0" fontId="7" fillId="0" borderId="10" xfId="0" applyFont="1" applyBorder="1" applyAlignment="1" applyProtection="1">
      <alignment horizontal="center" vertical="center" wrapText="1"/>
    </xf>
    <xf numFmtId="0" fontId="7" fillId="0" borderId="0" xfId="0" applyFont="1" applyBorder="1" applyProtection="1"/>
    <xf numFmtId="0" fontId="13" fillId="0" borderId="7" xfId="0" applyFont="1" applyBorder="1" applyAlignment="1" applyProtection="1">
      <alignment horizontal="center" vertical="center" wrapText="1"/>
    </xf>
    <xf numFmtId="166" fontId="11" fillId="0" borderId="0" xfId="3" applyNumberFormat="1" applyFont="1" applyFill="1" applyProtection="1"/>
    <xf numFmtId="166" fontId="11" fillId="0" borderId="0" xfId="3" applyNumberFormat="1" applyFont="1" applyFill="1" applyBorder="1" applyProtection="1"/>
    <xf numFmtId="0" fontId="11" fillId="0" borderId="0" xfId="0" applyFont="1" applyFill="1" applyBorder="1" applyProtection="1"/>
    <xf numFmtId="0" fontId="2" fillId="4" borderId="9" xfId="0" applyFont="1" applyFill="1" applyBorder="1" applyAlignment="1" applyProtection="1">
      <alignment horizontal="center"/>
    </xf>
    <xf numFmtId="0" fontId="4" fillId="4" borderId="6" xfId="0" applyFont="1" applyFill="1" applyBorder="1" applyProtection="1"/>
    <xf numFmtId="0" fontId="2" fillId="4" borderId="6" xfId="0" applyFont="1" applyFill="1" applyBorder="1" applyProtection="1"/>
    <xf numFmtId="0" fontId="2" fillId="4" borderId="0" xfId="0" applyFont="1" applyFill="1" applyProtection="1"/>
    <xf numFmtId="0" fontId="2" fillId="4" borderId="0" xfId="0" applyFont="1" applyFill="1" applyBorder="1" applyProtection="1"/>
    <xf numFmtId="0" fontId="2" fillId="0" borderId="0" xfId="0" applyFont="1" applyFill="1" applyBorder="1" applyAlignment="1" applyProtection="1">
      <alignment horizontal="center"/>
    </xf>
    <xf numFmtId="0" fontId="4" fillId="4" borderId="0" xfId="0" applyFont="1" applyFill="1" applyBorder="1" applyProtection="1"/>
    <xf numFmtId="0" fontId="14" fillId="4" borderId="0" xfId="0" applyFont="1" applyFill="1" applyBorder="1" applyProtection="1"/>
    <xf numFmtId="0" fontId="2" fillId="4" borderId="12" xfId="0" applyFont="1" applyFill="1" applyBorder="1" applyAlignment="1" applyProtection="1">
      <alignment horizontal="center"/>
    </xf>
    <xf numFmtId="0" fontId="15" fillId="4" borderId="0" xfId="0" applyFont="1" applyFill="1" applyBorder="1" applyAlignment="1" applyProtection="1">
      <alignment horizontal="left" vertical="top" wrapText="1"/>
    </xf>
    <xf numFmtId="0" fontId="14" fillId="4" borderId="2" xfId="0" applyFont="1" applyFill="1" applyBorder="1" applyAlignment="1" applyProtection="1">
      <alignment horizontal="center"/>
    </xf>
    <xf numFmtId="0" fontId="4" fillId="4" borderId="2" xfId="0" applyFont="1" applyFill="1" applyBorder="1" applyAlignment="1" applyProtection="1">
      <alignment horizontal="center"/>
    </xf>
    <xf numFmtId="0" fontId="3" fillId="4" borderId="2" xfId="0" applyFont="1" applyFill="1" applyBorder="1" applyProtection="1"/>
    <xf numFmtId="0" fontId="3" fillId="4" borderId="0" xfId="0" applyFont="1" applyFill="1" applyProtection="1"/>
    <xf numFmtId="0" fontId="2" fillId="4" borderId="2" xfId="0" applyFont="1" applyFill="1" applyBorder="1" applyProtection="1"/>
    <xf numFmtId="167" fontId="2" fillId="4" borderId="0" xfId="0" applyNumberFormat="1" applyFont="1" applyFill="1" applyProtection="1"/>
    <xf numFmtId="4" fontId="2" fillId="2" borderId="2" xfId="3" applyNumberFormat="1" applyFont="1" applyFill="1" applyBorder="1" applyProtection="1"/>
    <xf numFmtId="9" fontId="2" fillId="2" borderId="2" xfId="3" applyNumberFormat="1" applyFont="1" applyFill="1" applyBorder="1" applyProtection="1"/>
    <xf numFmtId="0" fontId="2" fillId="4" borderId="0" xfId="0" applyFont="1" applyFill="1" applyAlignment="1" applyProtection="1">
      <alignment horizontal="center"/>
    </xf>
    <xf numFmtId="0" fontId="16" fillId="4" borderId="0" xfId="2" applyFont="1" applyFill="1" applyBorder="1" applyProtection="1"/>
    <xf numFmtId="3" fontId="3" fillId="4" borderId="3" xfId="2" applyNumberFormat="1" applyFont="1" applyFill="1" applyBorder="1" applyAlignment="1" applyProtection="1">
      <alignment horizontal="left"/>
    </xf>
    <xf numFmtId="0" fontId="3" fillId="4" borderId="4" xfId="2" applyFont="1" applyFill="1" applyBorder="1" applyAlignment="1" applyProtection="1">
      <alignment horizontal="left"/>
    </xf>
    <xf numFmtId="0" fontId="3" fillId="4" borderId="5" xfId="2" applyFont="1" applyFill="1" applyBorder="1" applyAlignment="1" applyProtection="1">
      <alignment horizontal="left"/>
    </xf>
    <xf numFmtId="3" fontId="3" fillId="4" borderId="2" xfId="2" applyNumberFormat="1" applyFont="1" applyFill="1" applyBorder="1" applyAlignment="1" applyProtection="1">
      <alignment horizontal="left"/>
    </xf>
    <xf numFmtId="164" fontId="3" fillId="4" borderId="2" xfId="2" applyNumberFormat="1" applyFont="1" applyFill="1" applyBorder="1" applyAlignment="1" applyProtection="1">
      <alignment horizontal="left"/>
    </xf>
    <xf numFmtId="0" fontId="2" fillId="2" borderId="0" xfId="2" applyFont="1" applyFill="1" applyBorder="1" applyAlignment="1" applyProtection="1">
      <alignment horizontal="left"/>
    </xf>
    <xf numFmtId="0" fontId="2" fillId="4" borderId="2" xfId="2" applyFont="1" applyFill="1" applyBorder="1" applyAlignment="1" applyProtection="1">
      <alignment horizontal="center"/>
    </xf>
    <xf numFmtId="0" fontId="2" fillId="4" borderId="0" xfId="2" applyFont="1" applyFill="1" applyBorder="1" applyAlignment="1" applyProtection="1">
      <alignment horizontal="center"/>
    </xf>
    <xf numFmtId="0" fontId="17" fillId="0" borderId="0" xfId="0" applyFont="1" applyProtection="1"/>
    <xf numFmtId="0" fontId="18" fillId="0" borderId="0" xfId="0" applyFont="1" applyProtection="1"/>
    <xf numFmtId="0" fontId="18" fillId="0" borderId="2" xfId="0" applyFont="1" applyFill="1" applyBorder="1" applyProtection="1"/>
    <xf numFmtId="0" fontId="18" fillId="0" borderId="2" xfId="0" applyFont="1" applyBorder="1" applyAlignment="1" applyProtection="1">
      <alignment horizontal="center"/>
    </xf>
    <xf numFmtId="0" fontId="19" fillId="0" borderId="0" xfId="0" applyFont="1" applyProtection="1"/>
    <xf numFmtId="3" fontId="2" fillId="4" borderId="0" xfId="2" applyNumberFormat="1" applyFont="1" applyFill="1" applyBorder="1" applyProtection="1"/>
    <xf numFmtId="3" fontId="2" fillId="0" borderId="0" xfId="0" applyNumberFormat="1" applyFont="1" applyProtection="1"/>
    <xf numFmtId="3" fontId="3" fillId="5" borderId="0" xfId="6" applyNumberFormat="1" applyFont="1" applyFill="1" applyBorder="1" applyAlignment="1" applyProtection="1"/>
    <xf numFmtId="3" fontId="3" fillId="2" borderId="0" xfId="2" applyNumberFormat="1" applyFont="1" applyFill="1" applyBorder="1" applyProtection="1"/>
    <xf numFmtId="3" fontId="3" fillId="2" borderId="3" xfId="2" applyNumberFormat="1" applyFont="1" applyFill="1" applyBorder="1" applyAlignment="1" applyProtection="1">
      <alignment horizontal="left"/>
    </xf>
    <xf numFmtId="3" fontId="3" fillId="2" borderId="4" xfId="2" applyNumberFormat="1" applyFont="1" applyFill="1" applyBorder="1" applyAlignment="1" applyProtection="1">
      <alignment horizontal="left"/>
    </xf>
    <xf numFmtId="3" fontId="3" fillId="2" borderId="5" xfId="2" applyNumberFormat="1" applyFont="1" applyFill="1" applyBorder="1" applyAlignment="1" applyProtection="1">
      <alignment horizontal="left"/>
    </xf>
    <xf numFmtId="3" fontId="4" fillId="2" borderId="0" xfId="2" applyNumberFormat="1" applyFont="1" applyFill="1" applyBorder="1" applyProtection="1"/>
    <xf numFmtId="3" fontId="3" fillId="2" borderId="2" xfId="2" applyNumberFormat="1" applyFont="1" applyFill="1" applyBorder="1" applyAlignment="1" applyProtection="1">
      <alignment horizontal="left"/>
    </xf>
    <xf numFmtId="3" fontId="3" fillId="4" borderId="0" xfId="2" applyNumberFormat="1" applyFont="1" applyFill="1" applyProtection="1"/>
    <xf numFmtId="3" fontId="3" fillId="2" borderId="0" xfId="2" applyNumberFormat="1" applyFont="1" applyFill="1" applyBorder="1" applyAlignment="1" applyProtection="1">
      <alignment horizontal="left"/>
    </xf>
    <xf numFmtId="164" fontId="3" fillId="2" borderId="2" xfId="2" applyNumberFormat="1" applyFont="1" applyFill="1" applyBorder="1" applyAlignment="1" applyProtection="1">
      <alignment horizontal="left"/>
    </xf>
    <xf numFmtId="3" fontId="2" fillId="4" borderId="0" xfId="5" applyNumberFormat="1" applyFont="1" applyFill="1" applyProtection="1"/>
    <xf numFmtId="3" fontId="16" fillId="4" borderId="0" xfId="2" applyNumberFormat="1" applyFont="1" applyFill="1" applyBorder="1" applyAlignment="1" applyProtection="1"/>
    <xf numFmtId="3" fontId="2" fillId="2" borderId="0" xfId="2" applyNumberFormat="1" applyFont="1" applyFill="1" applyBorder="1" applyAlignment="1" applyProtection="1">
      <alignment horizontal="left"/>
    </xf>
    <xf numFmtId="3" fontId="2" fillId="2" borderId="0" xfId="2" applyNumberFormat="1" applyFont="1" applyFill="1" applyBorder="1" applyAlignment="1" applyProtection="1">
      <alignment horizontal="left"/>
    </xf>
    <xf numFmtId="3" fontId="15" fillId="5" borderId="0" xfId="6" applyNumberFormat="1" applyFont="1" applyFill="1" applyBorder="1" applyAlignment="1" applyProtection="1"/>
    <xf numFmtId="3" fontId="3" fillId="4" borderId="2" xfId="2" applyNumberFormat="1" applyFont="1" applyFill="1" applyBorder="1" applyAlignment="1" applyProtection="1">
      <alignment horizontal="center" vertical="center" wrapText="1" shrinkToFit="1"/>
    </xf>
    <xf numFmtId="3" fontId="3" fillId="4" borderId="8" xfId="2" applyNumberFormat="1" applyFont="1" applyFill="1" applyBorder="1" applyAlignment="1" applyProtection="1">
      <alignment horizontal="center" vertical="center" wrapText="1" shrinkToFit="1"/>
    </xf>
    <xf numFmtId="3" fontId="3" fillId="4" borderId="3" xfId="2" applyNumberFormat="1" applyFont="1" applyFill="1" applyBorder="1" applyAlignment="1" applyProtection="1">
      <alignment horizontal="center" vertical="center" wrapText="1" shrinkToFit="1"/>
    </xf>
    <xf numFmtId="3" fontId="3" fillId="4" borderId="4" xfId="2" applyNumberFormat="1" applyFont="1" applyFill="1" applyBorder="1" applyAlignment="1" applyProtection="1">
      <alignment horizontal="center" vertical="center" wrapText="1" shrinkToFit="1"/>
    </xf>
    <xf numFmtId="3" fontId="3" fillId="4" borderId="5" xfId="2" applyNumberFormat="1" applyFont="1" applyFill="1" applyBorder="1" applyAlignment="1" applyProtection="1">
      <alignment horizontal="center" vertical="center" wrapText="1" shrinkToFit="1"/>
    </xf>
    <xf numFmtId="3" fontId="3" fillId="4" borderId="2" xfId="2" applyNumberFormat="1" applyFont="1" applyFill="1" applyBorder="1" applyAlignment="1" applyProtection="1">
      <alignment vertical="center" wrapText="1" shrinkToFit="1"/>
    </xf>
    <xf numFmtId="3" fontId="3" fillId="4" borderId="2" xfId="9" applyNumberFormat="1" applyFont="1" applyFill="1" applyBorder="1" applyAlignment="1" applyProtection="1">
      <alignment horizontal="center" vertical="center"/>
    </xf>
    <xf numFmtId="3" fontId="3" fillId="4" borderId="7" xfId="2" applyNumberFormat="1" applyFont="1" applyFill="1" applyBorder="1" applyAlignment="1" applyProtection="1">
      <alignment horizontal="center" vertical="center" wrapText="1" shrinkToFit="1"/>
    </xf>
    <xf numFmtId="3" fontId="3" fillId="4" borderId="2" xfId="9" applyNumberFormat="1" applyFont="1" applyFill="1" applyBorder="1" applyAlignment="1" applyProtection="1">
      <alignment horizontal="center"/>
    </xf>
    <xf numFmtId="3" fontId="2" fillId="4" borderId="2" xfId="9" applyNumberFormat="1" applyFont="1" applyFill="1" applyBorder="1" applyProtection="1"/>
    <xf numFmtId="3" fontId="14" fillId="4" borderId="2" xfId="9" applyNumberFormat="1" applyFont="1" applyFill="1" applyBorder="1" applyAlignment="1" applyProtection="1">
      <alignment horizontal="right" wrapText="1"/>
    </xf>
    <xf numFmtId="3" fontId="21" fillId="4" borderId="2" xfId="8" applyNumberFormat="1" applyFont="1" applyFill="1" applyBorder="1" applyAlignment="1" applyProtection="1">
      <alignment wrapText="1" shrinkToFit="1"/>
    </xf>
    <xf numFmtId="3" fontId="22" fillId="2" borderId="2" xfId="3" applyNumberFormat="1" applyFont="1" applyFill="1" applyBorder="1" applyAlignment="1" applyProtection="1"/>
    <xf numFmtId="3" fontId="10" fillId="2" borderId="2" xfId="3" applyNumberFormat="1" applyFont="1" applyFill="1" applyBorder="1" applyAlignment="1" applyProtection="1"/>
    <xf numFmtId="3" fontId="6" fillId="4" borderId="2" xfId="9" applyNumberFormat="1" applyFont="1" applyFill="1" applyBorder="1" applyAlignment="1" applyProtection="1">
      <alignment horizontal="center"/>
    </xf>
    <xf numFmtId="3" fontId="10" fillId="4" borderId="2" xfId="9" applyNumberFormat="1" applyFont="1" applyFill="1" applyBorder="1" applyProtection="1"/>
    <xf numFmtId="3" fontId="2" fillId="3" borderId="2" xfId="2" applyNumberFormat="1" applyFont="1" applyFill="1" applyBorder="1" applyAlignment="1" applyProtection="1">
      <alignment wrapText="1" shrinkToFit="1"/>
      <protection locked="0"/>
    </xf>
    <xf numFmtId="3" fontId="3" fillId="2" borderId="2" xfId="3" applyNumberFormat="1" applyFont="1" applyFill="1" applyBorder="1" applyAlignment="1" applyProtection="1"/>
    <xf numFmtId="3" fontId="3" fillId="2" borderId="2" xfId="4" applyNumberFormat="1" applyFont="1" applyFill="1" applyBorder="1" applyProtection="1"/>
    <xf numFmtId="3" fontId="2" fillId="4" borderId="2" xfId="2" applyNumberFormat="1" applyFont="1" applyFill="1" applyBorder="1" applyAlignment="1" applyProtection="1">
      <alignment wrapText="1" shrinkToFit="1"/>
    </xf>
    <xf numFmtId="3" fontId="3" fillId="4" borderId="2" xfId="2" applyNumberFormat="1" applyFont="1" applyFill="1" applyBorder="1" applyAlignment="1" applyProtection="1">
      <alignment wrapText="1" shrinkToFit="1"/>
    </xf>
    <xf numFmtId="3" fontId="3" fillId="4" borderId="2" xfId="9" applyNumberFormat="1" applyFont="1" applyFill="1" applyBorder="1" applyProtection="1"/>
    <xf numFmtId="3" fontId="23" fillId="4" borderId="2" xfId="2" applyNumberFormat="1" applyFont="1" applyFill="1" applyBorder="1" applyAlignment="1" applyProtection="1">
      <alignment wrapText="1" shrinkToFit="1"/>
    </xf>
    <xf numFmtId="3" fontId="3" fillId="3" borderId="2" xfId="2" applyNumberFormat="1" applyFont="1" applyFill="1" applyBorder="1" applyAlignment="1" applyProtection="1">
      <alignment wrapText="1" shrinkToFit="1"/>
      <protection locked="0"/>
    </xf>
    <xf numFmtId="3" fontId="2" fillId="2" borderId="2" xfId="3" applyNumberFormat="1" applyFont="1" applyFill="1" applyBorder="1" applyAlignment="1" applyProtection="1"/>
    <xf numFmtId="3" fontId="2" fillId="0" borderId="2" xfId="3" applyNumberFormat="1" applyFont="1" applyFill="1" applyBorder="1" applyProtection="1">
      <protection locked="0"/>
    </xf>
    <xf numFmtId="3" fontId="10" fillId="2" borderId="2" xfId="9" applyNumberFormat="1" applyFont="1" applyFill="1" applyBorder="1" applyAlignment="1" applyProtection="1"/>
    <xf numFmtId="3" fontId="2" fillId="3" borderId="2" xfId="9" applyNumberFormat="1" applyFont="1" applyFill="1" applyBorder="1" applyProtection="1">
      <protection locked="0"/>
    </xf>
    <xf numFmtId="3" fontId="19" fillId="0" borderId="0" xfId="0" applyNumberFormat="1" applyFont="1" applyProtection="1"/>
    <xf numFmtId="3" fontId="2" fillId="4" borderId="0" xfId="9" applyNumberFormat="1" applyFont="1" applyFill="1" applyBorder="1" applyProtection="1"/>
    <xf numFmtId="3" fontId="3" fillId="2" borderId="2" xfId="2" applyNumberFormat="1" applyFont="1" applyFill="1" applyBorder="1" applyAlignment="1" applyProtection="1">
      <alignment horizontal="left"/>
    </xf>
    <xf numFmtId="0" fontId="3" fillId="4" borderId="2" xfId="2" applyFont="1" applyFill="1" applyBorder="1" applyAlignment="1" applyProtection="1">
      <alignment horizontal="left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0" fontId="3" fillId="2" borderId="13" xfId="2" applyFont="1" applyFill="1" applyBorder="1" applyAlignment="1" applyProtection="1">
      <alignment horizontal="center"/>
    </xf>
    <xf numFmtId="3" fontId="3" fillId="0" borderId="2" xfId="0" applyNumberFormat="1" applyFont="1" applyBorder="1" applyAlignment="1" applyProtection="1">
      <alignment horizontal="left"/>
    </xf>
    <xf numFmtId="0" fontId="3" fillId="0" borderId="2" xfId="0" applyFont="1" applyBorder="1" applyAlignment="1" applyProtection="1">
      <alignment horizontal="left"/>
    </xf>
    <xf numFmtId="164" fontId="3" fillId="0" borderId="3" xfId="0" applyNumberFormat="1" applyFont="1" applyBorder="1" applyAlignment="1" applyProtection="1">
      <alignment horizontal="left"/>
    </xf>
    <xf numFmtId="164" fontId="3" fillId="0" borderId="5" xfId="0" applyNumberFormat="1" applyFont="1" applyBorder="1" applyAlignment="1" applyProtection="1">
      <alignment horizontal="left"/>
    </xf>
    <xf numFmtId="0" fontId="16" fillId="4" borderId="0" xfId="2" applyFont="1" applyFill="1" applyBorder="1" applyAlignment="1" applyProtection="1"/>
    <xf numFmtId="0" fontId="15" fillId="5" borderId="0" xfId="6" applyFont="1" applyFill="1" applyBorder="1" applyAlignment="1" applyProtection="1"/>
    <xf numFmtId="0" fontId="3" fillId="4" borderId="2" xfId="2" applyFont="1" applyFill="1" applyBorder="1" applyAlignment="1" applyProtection="1">
      <alignment horizontal="center" vertical="center" wrapText="1" shrinkToFit="1"/>
    </xf>
    <xf numFmtId="0" fontId="3" fillId="4" borderId="3" xfId="2" applyFont="1" applyFill="1" applyBorder="1" applyAlignment="1" applyProtection="1">
      <alignment horizontal="center" vertical="center" wrapText="1" shrinkToFit="1"/>
    </xf>
    <xf numFmtId="0" fontId="3" fillId="4" borderId="2" xfId="2" applyFont="1" applyFill="1" applyBorder="1" applyAlignment="1" applyProtection="1">
      <alignment vertical="center" wrapText="1" shrinkToFit="1"/>
    </xf>
    <xf numFmtId="0" fontId="3" fillId="4" borderId="2" xfId="9" applyFont="1" applyFill="1" applyBorder="1" applyAlignment="1" applyProtection="1">
      <alignment horizontal="center"/>
    </xf>
    <xf numFmtId="0" fontId="2" fillId="4" borderId="2" xfId="9" applyFont="1" applyFill="1" applyBorder="1" applyProtection="1"/>
    <xf numFmtId="0" fontId="14" fillId="4" borderId="2" xfId="9" applyFont="1" applyFill="1" applyBorder="1" applyAlignment="1" applyProtection="1">
      <alignment horizontal="right" wrapText="1"/>
    </xf>
    <xf numFmtId="0" fontId="21" fillId="4" borderId="2" xfId="8" applyFont="1" applyFill="1" applyBorder="1" applyAlignment="1" applyProtection="1">
      <alignment wrapText="1" shrinkToFit="1"/>
    </xf>
    <xf numFmtId="43" fontId="22" fillId="2" borderId="2" xfId="3" applyFont="1" applyFill="1" applyBorder="1" applyAlignment="1" applyProtection="1"/>
    <xf numFmtId="0" fontId="10" fillId="4" borderId="2" xfId="9" applyFont="1" applyFill="1" applyBorder="1" applyProtection="1"/>
    <xf numFmtId="0" fontId="2" fillId="3" borderId="2" xfId="2" applyFont="1" applyFill="1" applyBorder="1" applyAlignment="1" applyProtection="1">
      <alignment wrapText="1" shrinkToFit="1"/>
      <protection locked="0"/>
    </xf>
    <xf numFmtId="0" fontId="3" fillId="4" borderId="2" xfId="9" applyFont="1" applyFill="1" applyBorder="1" applyProtection="1"/>
    <xf numFmtId="0" fontId="2" fillId="4" borderId="0" xfId="9" applyFont="1" applyFill="1" applyBorder="1" applyProtection="1"/>
    <xf numFmtId="43" fontId="2" fillId="4" borderId="0" xfId="9" applyNumberFormat="1" applyFont="1" applyFill="1" applyBorder="1" applyProtection="1"/>
    <xf numFmtId="0" fontId="2" fillId="0" borderId="0" xfId="6" applyFont="1" applyFill="1" applyAlignment="1" applyProtection="1">
      <alignment horizontal="center" vertical="center"/>
    </xf>
    <xf numFmtId="0" fontId="2" fillId="0" borderId="0" xfId="6" applyFont="1" applyFill="1" applyBorder="1" applyProtection="1"/>
    <xf numFmtId="0" fontId="9" fillId="0" borderId="0" xfId="6" applyFont="1" applyFill="1" applyProtection="1"/>
    <xf numFmtId="0" fontId="3" fillId="5" borderId="0" xfId="10" applyFont="1" applyFill="1" applyBorder="1" applyAlignment="1" applyProtection="1"/>
    <xf numFmtId="3" fontId="3" fillId="5" borderId="3" xfId="10" applyNumberFormat="1" applyFont="1" applyFill="1" applyBorder="1" applyAlignment="1" applyProtection="1">
      <alignment horizontal="left"/>
    </xf>
    <xf numFmtId="0" fontId="3" fillId="5" borderId="4" xfId="10" applyFont="1" applyFill="1" applyBorder="1" applyAlignment="1" applyProtection="1">
      <alignment horizontal="left"/>
    </xf>
    <xf numFmtId="0" fontId="3" fillId="5" borderId="5" xfId="10" applyFont="1" applyFill="1" applyBorder="1" applyAlignment="1" applyProtection="1">
      <alignment horizontal="left"/>
    </xf>
    <xf numFmtId="3" fontId="3" fillId="5" borderId="2" xfId="10" applyNumberFormat="1" applyFont="1" applyFill="1" applyBorder="1" applyAlignment="1" applyProtection="1">
      <alignment horizontal="left"/>
    </xf>
    <xf numFmtId="164" fontId="3" fillId="5" borderId="2" xfId="10" applyNumberFormat="1" applyFont="1" applyFill="1" applyBorder="1" applyAlignment="1" applyProtection="1">
      <alignment horizontal="left"/>
    </xf>
    <xf numFmtId="0" fontId="3" fillId="5" borderId="0" xfId="6" applyFont="1" applyFill="1" applyBorder="1" applyProtection="1"/>
    <xf numFmtId="0" fontId="3" fillId="5" borderId="0" xfId="10" applyFont="1" applyFill="1" applyBorder="1" applyProtection="1"/>
    <xf numFmtId="0" fontId="11" fillId="0" borderId="0" xfId="6" applyFont="1" applyFill="1" applyProtection="1"/>
    <xf numFmtId="0" fontId="3" fillId="0" borderId="2" xfId="6" applyFont="1" applyFill="1" applyBorder="1" applyAlignment="1" applyProtection="1">
      <alignment horizontal="center" wrapText="1"/>
    </xf>
    <xf numFmtId="0" fontId="3" fillId="0" borderId="0" xfId="6" applyFont="1" applyFill="1" applyBorder="1" applyAlignment="1" applyProtection="1">
      <alignment horizontal="center" wrapText="1"/>
    </xf>
    <xf numFmtId="0" fontId="9" fillId="0" borderId="0" xfId="6" applyFont="1" applyFill="1" applyAlignment="1" applyProtection="1">
      <alignment horizontal="center" vertical="center"/>
    </xf>
    <xf numFmtId="3" fontId="3" fillId="0" borderId="2" xfId="11" applyNumberFormat="1" applyFont="1" applyFill="1" applyBorder="1" applyAlignment="1" applyProtection="1">
      <alignment horizontal="left"/>
    </xf>
    <xf numFmtId="0" fontId="3" fillId="0" borderId="2" xfId="11" applyFont="1" applyFill="1" applyBorder="1" applyAlignment="1" applyProtection="1">
      <alignment horizontal="left"/>
    </xf>
    <xf numFmtId="0" fontId="3" fillId="0" borderId="0" xfId="11" applyFont="1" applyFill="1" applyAlignment="1" applyProtection="1">
      <alignment horizontal="center"/>
    </xf>
    <xf numFmtId="43" fontId="3" fillId="0" borderId="0" xfId="4" applyFont="1" applyFill="1" applyProtection="1"/>
    <xf numFmtId="0" fontId="3" fillId="0" borderId="0" xfId="11" applyFont="1" applyFill="1" applyProtection="1"/>
    <xf numFmtId="0" fontId="3" fillId="0" borderId="6" xfId="11" applyFont="1" applyFill="1" applyBorder="1" applyAlignment="1" applyProtection="1">
      <alignment horizontal="center"/>
    </xf>
    <xf numFmtId="43" fontId="3" fillId="0" borderId="0" xfId="4" applyFont="1" applyFill="1" applyBorder="1" applyProtection="1"/>
    <xf numFmtId="3" fontId="3" fillId="0" borderId="2" xfId="11" quotePrefix="1" applyNumberFormat="1" applyFont="1" applyFill="1" applyBorder="1" applyAlignment="1" applyProtection="1">
      <alignment horizontal="left"/>
    </xf>
    <xf numFmtId="0" fontId="3" fillId="0" borderId="0" xfId="11" applyFont="1" applyFill="1" applyBorder="1" applyAlignment="1" applyProtection="1">
      <alignment horizontal="center"/>
    </xf>
    <xf numFmtId="0" fontId="3" fillId="0" borderId="0" xfId="11" quotePrefix="1" applyFont="1" applyFill="1" applyAlignment="1" applyProtection="1">
      <alignment horizontal="left"/>
    </xf>
    <xf numFmtId="0" fontId="3" fillId="4" borderId="0" xfId="2" applyFont="1" applyFill="1" applyAlignment="1" applyProtection="1">
      <alignment horizontal="left"/>
    </xf>
    <xf numFmtId="0" fontId="4" fillId="4" borderId="0" xfId="0" applyFont="1" applyFill="1" applyBorder="1" applyAlignment="1" applyProtection="1">
      <alignment horizontal="left"/>
    </xf>
    <xf numFmtId="164" fontId="3" fillId="0" borderId="2" xfId="11" applyNumberFormat="1" applyFont="1" applyFill="1" applyBorder="1" applyAlignment="1" applyProtection="1">
      <alignment horizontal="left"/>
    </xf>
    <xf numFmtId="0" fontId="3" fillId="2" borderId="0" xfId="11" applyFont="1" applyFill="1" applyProtection="1"/>
    <xf numFmtId="0" fontId="3" fillId="0" borderId="1" xfId="11" applyFont="1" applyFill="1" applyBorder="1" applyAlignment="1" applyProtection="1">
      <alignment horizontal="center"/>
    </xf>
    <xf numFmtId="43" fontId="3" fillId="0" borderId="0" xfId="4" applyFont="1" applyFill="1" applyAlignment="1" applyProtection="1">
      <alignment horizontal="center" wrapText="1"/>
    </xf>
    <xf numFmtId="43" fontId="3" fillId="0" borderId="0" xfId="4" applyFont="1" applyFill="1" applyAlignment="1" applyProtection="1">
      <alignment horizontal="center" wrapText="1"/>
    </xf>
    <xf numFmtId="0" fontId="3" fillId="4" borderId="11" xfId="2" applyFont="1" applyFill="1" applyBorder="1" applyAlignment="1" applyProtection="1">
      <alignment horizontal="center" vertical="center" wrapText="1" shrinkToFit="1"/>
    </xf>
    <xf numFmtId="0" fontId="3" fillId="0" borderId="7" xfId="11" applyFont="1" applyBorder="1" applyAlignment="1" applyProtection="1">
      <alignment horizontal="center" vertical="center" wrapText="1"/>
    </xf>
    <xf numFmtId="0" fontId="3" fillId="0" borderId="2" xfId="11" applyFont="1" applyBorder="1" applyAlignment="1" applyProtection="1">
      <alignment horizontal="center" vertical="center" wrapText="1"/>
    </xf>
    <xf numFmtId="0" fontId="2" fillId="0" borderId="7" xfId="11" applyFont="1" applyBorder="1" applyAlignment="1" applyProtection="1">
      <alignment horizontal="center" vertical="center" wrapText="1"/>
    </xf>
    <xf numFmtId="0" fontId="3" fillId="0" borderId="7" xfId="11" applyFont="1" applyBorder="1" applyAlignment="1" applyProtection="1">
      <alignment horizontal="left" vertical="center" wrapText="1"/>
    </xf>
    <xf numFmtId="0" fontId="3" fillId="0" borderId="2" xfId="2" applyFont="1" applyFill="1" applyBorder="1" applyAlignment="1" applyProtection="1">
      <alignment wrapText="1" shrinkToFit="1"/>
    </xf>
    <xf numFmtId="0" fontId="2" fillId="4" borderId="2" xfId="2" applyFont="1" applyFill="1" applyBorder="1" applyAlignment="1" applyProtection="1">
      <alignment horizontal="left" wrapText="1" indent="1" shrinkToFit="1"/>
    </xf>
    <xf numFmtId="3" fontId="2" fillId="3" borderId="2" xfId="4" applyNumberFormat="1" applyFont="1" applyFill="1" applyBorder="1" applyProtection="1">
      <protection locked="0"/>
    </xf>
    <xf numFmtId="0" fontId="2" fillId="4" borderId="0" xfId="2" applyFont="1" applyFill="1" applyBorder="1" applyAlignment="1" applyProtection="1">
      <alignment horizontal="left" wrapText="1" indent="1" shrinkToFit="1"/>
    </xf>
    <xf numFmtId="0" fontId="3" fillId="4" borderId="2" xfId="2" applyFont="1" applyFill="1" applyBorder="1" applyAlignment="1" applyProtection="1">
      <alignment horizontal="left" wrapText="1" shrinkToFit="1"/>
    </xf>
    <xf numFmtId="3" fontId="10" fillId="0" borderId="2" xfId="3" applyNumberFormat="1" applyFont="1" applyFill="1" applyBorder="1" applyProtection="1"/>
    <xf numFmtId="0" fontId="3" fillId="0" borderId="5" xfId="11" applyFont="1" applyFill="1" applyBorder="1" applyProtection="1"/>
    <xf numFmtId="0" fontId="3" fillId="0" borderId="2" xfId="11" applyFont="1" applyFill="1" applyBorder="1" applyProtection="1"/>
    <xf numFmtId="0" fontId="3" fillId="0" borderId="3" xfId="11" applyFont="1" applyFill="1" applyBorder="1" applyProtection="1"/>
    <xf numFmtId="43" fontId="3" fillId="0" borderId="2" xfId="4" applyFont="1" applyFill="1" applyBorder="1" applyProtection="1"/>
    <xf numFmtId="0" fontId="18" fillId="0" borderId="2" xfId="0" applyFont="1" applyBorder="1" applyProtection="1"/>
    <xf numFmtId="0" fontId="7" fillId="0" borderId="0" xfId="0" applyFont="1" applyFill="1" applyBorder="1" applyProtection="1"/>
    <xf numFmtId="0" fontId="18" fillId="0" borderId="0" xfId="0" applyFont="1" applyFill="1" applyBorder="1" applyProtection="1"/>
    <xf numFmtId="0" fontId="25" fillId="7" borderId="2" xfId="12" applyFont="1" applyFill="1" applyBorder="1" applyAlignment="1">
      <alignment horizontal="left" vertical="center" wrapText="1"/>
    </xf>
    <xf numFmtId="0" fontId="26" fillId="7" borderId="2" xfId="12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ont="1" applyBorder="1"/>
    <xf numFmtId="0" fontId="14" fillId="0" borderId="2" xfId="0" applyFont="1" applyBorder="1"/>
    <xf numFmtId="0" fontId="0" fillId="0" borderId="0" xfId="0" applyBorder="1"/>
    <xf numFmtId="0" fontId="14" fillId="0" borderId="11" xfId="0" applyFont="1" applyFill="1" applyBorder="1"/>
    <xf numFmtId="0" fontId="0" fillId="0" borderId="11" xfId="0" applyFill="1" applyBorder="1"/>
    <xf numFmtId="0" fontId="27" fillId="5" borderId="0" xfId="6" applyFont="1" applyFill="1" applyBorder="1" applyAlignment="1" applyProtection="1"/>
    <xf numFmtId="0" fontId="3" fillId="5" borderId="0" xfId="10" applyFont="1" applyFill="1" applyBorder="1" applyAlignment="1" applyProtection="1">
      <alignment horizontal="center"/>
    </xf>
    <xf numFmtId="3" fontId="3" fillId="0" borderId="2" xfId="3" applyNumberFormat="1" applyFont="1" applyFill="1" applyBorder="1" applyProtection="1"/>
    <xf numFmtId="0" fontId="3" fillId="0" borderId="0" xfId="6" applyFont="1" applyFill="1" applyBorder="1" applyAlignment="1" applyProtection="1"/>
    <xf numFmtId="0" fontId="3" fillId="0" borderId="0" xfId="10" applyFont="1" applyFill="1" applyBorder="1" applyAlignment="1" applyProtection="1"/>
    <xf numFmtId="0" fontId="3" fillId="0" borderId="0" xfId="10" applyFont="1" applyFill="1" applyBorder="1" applyAlignment="1" applyProtection="1">
      <alignment horizontal="center"/>
    </xf>
    <xf numFmtId="3" fontId="2" fillId="0" borderId="0" xfId="3" applyNumberFormat="1" applyFont="1" applyFill="1" applyBorder="1" applyProtection="1">
      <protection locked="0"/>
    </xf>
    <xf numFmtId="0" fontId="3" fillId="0" borderId="0" xfId="6" applyFont="1" applyFill="1" applyAlignment="1" applyProtection="1">
      <alignment horizontal="center" vertical="center"/>
    </xf>
    <xf numFmtId="0" fontId="2" fillId="0" borderId="0" xfId="0" applyFont="1"/>
    <xf numFmtId="0" fontId="28" fillId="5" borderId="0" xfId="6" applyFont="1" applyFill="1" applyBorder="1" applyProtection="1"/>
    <xf numFmtId="0" fontId="3" fillId="5" borderId="0" xfId="6" applyFont="1" applyFill="1" applyBorder="1" applyAlignment="1" applyProtection="1">
      <alignment horizontal="center"/>
    </xf>
    <xf numFmtId="0" fontId="2" fillId="5" borderId="0" xfId="6" applyFont="1" applyFill="1" applyBorder="1" applyProtection="1"/>
    <xf numFmtId="0" fontId="29" fillId="4" borderId="0" xfId="5" applyFont="1" applyFill="1" applyBorder="1" applyAlignment="1" applyProtection="1">
      <alignment horizontal="left"/>
    </xf>
    <xf numFmtId="0" fontId="2" fillId="4" borderId="0" xfId="5" applyFont="1" applyFill="1" applyBorder="1" applyAlignment="1" applyProtection="1">
      <alignment horizontal="left"/>
    </xf>
    <xf numFmtId="0" fontId="3" fillId="5" borderId="0" xfId="6" applyFont="1" applyFill="1" applyProtection="1"/>
    <xf numFmtId="0" fontId="2" fillId="5" borderId="0" xfId="6" applyFont="1" applyFill="1" applyProtection="1"/>
    <xf numFmtId="0" fontId="3" fillId="5" borderId="0" xfId="6" applyFont="1" applyFill="1" applyAlignment="1" applyProtection="1">
      <alignment horizontal="right"/>
    </xf>
    <xf numFmtId="0" fontId="2" fillId="5" borderId="0" xfId="6" applyFont="1" applyFill="1" applyAlignment="1" applyProtection="1">
      <alignment horizontal="right"/>
    </xf>
    <xf numFmtId="0" fontId="2" fillId="0" borderId="0" xfId="6" applyFont="1" applyFill="1" applyAlignment="1" applyProtection="1">
      <alignment horizontal="right"/>
    </xf>
    <xf numFmtId="0" fontId="30" fillId="0" borderId="0" xfId="0" applyFont="1" applyFill="1" applyProtection="1"/>
    <xf numFmtId="0" fontId="30" fillId="0" borderId="0" xfId="6" applyFont="1" applyFill="1" applyProtection="1"/>
    <xf numFmtId="0" fontId="11" fillId="0" borderId="0" xfId="0" applyFont="1" applyFill="1" applyProtection="1"/>
    <xf numFmtId="9" fontId="11" fillId="0" borderId="0" xfId="6" applyNumberFormat="1" applyFont="1" applyFill="1" applyProtection="1"/>
    <xf numFmtId="0" fontId="30" fillId="0" borderId="0" xfId="0" applyFont="1" applyFill="1" applyBorder="1" applyProtection="1"/>
    <xf numFmtId="0" fontId="9" fillId="8" borderId="0" xfId="6" applyFont="1" applyFill="1" applyProtection="1"/>
  </cellXfs>
  <cellStyles count="13">
    <cellStyle name="Comma" xfId="1" builtinId="3"/>
    <cellStyle name="Comma 2" xfId="4" xr:uid="{20866065-72C1-42B9-8B96-F68946450736}"/>
    <cellStyle name="Comma 4" xfId="7" xr:uid="{890BA83A-53A7-495A-AE01-3FAA85BB09A7}"/>
    <cellStyle name="Comma 4 2" xfId="3" xr:uid="{F8E9E9ED-399C-459E-8A2F-8EF56277C26E}"/>
    <cellStyle name="Hyperlink" xfId="8" builtinId="8"/>
    <cellStyle name="Normal" xfId="0" builtinId="0"/>
    <cellStyle name="Normal 10" xfId="5" xr:uid="{452BD2D0-71E3-444E-8415-BF09F4DA5FE4}"/>
    <cellStyle name="Normal 2" xfId="2" xr:uid="{A0457264-39C8-4875-87F4-5E7F69B17757}"/>
    <cellStyle name="Normal 2 3" xfId="11" xr:uid="{DA754D3F-DDE4-4D53-89CC-4765DB996EA4}"/>
    <cellStyle name="Normal 3" xfId="6" xr:uid="{C94B1DC6-7C68-4585-BE69-E8A571C936D4}"/>
    <cellStyle name="Normal 3 5" xfId="9" xr:uid="{CD865D41-F92F-4A7A-BFCA-DD06FD99F06B}"/>
    <cellStyle name="Normal 5" xfId="10" xr:uid="{74A8BDF4-C3E8-48A8-A592-AF177B7B55FC}"/>
    <cellStyle name="Normal_Priloha_2_struinfo-DEF-AJ" xfId="12" xr:uid="{61E19BB0-6F03-45FD-BAB2-F9F72D035C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inn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MSP2_01"/>
      <sheetName val="MSP2_02"/>
      <sheetName val="MSP2_03"/>
      <sheetName val="MSP2_04"/>
      <sheetName val="MSP2_05"/>
      <sheetName val="MSP2_06"/>
      <sheetName val="MSP2_07"/>
      <sheetName val="MSP2_08"/>
      <sheetName val="MSP2_09"/>
      <sheetName val="MSP2_10"/>
      <sheetName val="Static Information"/>
    </sheetNames>
    <sheetDataSet>
      <sheetData sheetId="0"/>
      <sheetData sheetId="1">
        <row r="2">
          <cell r="C2" t="str">
            <v>TESTING MSP</v>
          </cell>
        </row>
        <row r="4">
          <cell r="C4" t="str">
            <v>M001</v>
          </cell>
        </row>
        <row r="6">
          <cell r="C6">
            <v>44561</v>
          </cell>
        </row>
        <row r="46">
          <cell r="C46">
            <v>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 t="str">
            <v>NIL</v>
          </cell>
          <cell r="G3" t="str">
            <v>NIL</v>
          </cell>
        </row>
        <row r="4">
          <cell r="B4" t="str">
            <v>ABSA BANK TANZANIA LIMITED</v>
          </cell>
          <cell r="G4" t="str">
            <v>ABSA BANK TANZANIA LIMITED</v>
          </cell>
        </row>
        <row r="5">
          <cell r="B5" t="str">
            <v>ACCESSBANK (TANZANIA) LIMITED</v>
          </cell>
          <cell r="G5" t="str">
            <v>ACCESSBANK (TANZANIA) LIMITED</v>
          </cell>
        </row>
        <row r="6">
          <cell r="B6" t="str">
            <v>AFRICAN BANKING CORPORATION (T) LTD</v>
          </cell>
          <cell r="G6" t="str">
            <v>AFRICAN BANKING CORPORATION (T) LTD</v>
          </cell>
        </row>
        <row r="7">
          <cell r="B7" t="str">
            <v>AKIBA COMMERCIAL BANK LTD</v>
          </cell>
          <cell r="G7" t="str">
            <v>AKIBA COMMERCIAL BANK LTD</v>
          </cell>
        </row>
        <row r="8">
          <cell r="B8" t="str">
            <v>ALIOS FINANCE TANZANIA LIMITED</v>
          </cell>
          <cell r="G8" t="str">
            <v>AMANA BANK LIMITED</v>
          </cell>
        </row>
        <row r="9">
          <cell r="B9" t="str">
            <v>AMANA BANK LIMITED</v>
          </cell>
          <cell r="G9" t="str">
            <v>AZANIA BANK LIMITED</v>
          </cell>
        </row>
        <row r="10">
          <cell r="B10" t="str">
            <v>AZANIA BANK LIMITED</v>
          </cell>
          <cell r="G10" t="str">
            <v>BANK OF BARODA TANZANIA LIMITED</v>
          </cell>
        </row>
        <row r="11">
          <cell r="B11" t="str">
            <v>BANK OF BARODA TANZANIA LIMITED</v>
          </cell>
          <cell r="G11" t="str">
            <v>BANK OF INDIA (TANZANIA) LIMITED</v>
          </cell>
        </row>
        <row r="12">
          <cell r="B12" t="str">
            <v>BANK OF INDIA (TANZANIA) LIMITED</v>
          </cell>
          <cell r="G12" t="str">
            <v>BOA BANK</v>
          </cell>
        </row>
        <row r="13">
          <cell r="B13" t="str">
            <v>BANK OF TANZANIA</v>
          </cell>
          <cell r="G13" t="str">
            <v>CANARA BANK TANZANIA LIMITED</v>
          </cell>
        </row>
        <row r="14">
          <cell r="B14" t="str">
            <v>BOA BANK</v>
          </cell>
          <cell r="G14" t="str">
            <v>CHINA COMMERCIAL BANK LIMITED</v>
          </cell>
        </row>
        <row r="15">
          <cell r="B15" t="str">
            <v>CANARA BANK TANZANIA LIMITED</v>
          </cell>
          <cell r="G15" t="str">
            <v>CHINA DASHENG BANK LIMITED</v>
          </cell>
        </row>
        <row r="16">
          <cell r="B16" t="str">
            <v>CHINA COMMERCIAL BANK LIMITED</v>
          </cell>
          <cell r="G16" t="str">
            <v>CITIBANK (T) LTD</v>
          </cell>
        </row>
        <row r="17">
          <cell r="B17" t="str">
            <v>CHINA DASHENG BANK LIMITED</v>
          </cell>
          <cell r="G17" t="str">
            <v>COMMERCIAL BANK OF AFRICA (T) LIMITED</v>
          </cell>
        </row>
        <row r="18">
          <cell r="B18" t="str">
            <v>CITIBANK (T) LTD</v>
          </cell>
          <cell r="G18" t="str">
            <v>CRDB BANK PLC</v>
          </cell>
        </row>
        <row r="19">
          <cell r="B19" t="str">
            <v>COMMERCIAL BANK OF AFRICA (T) LIMITED</v>
          </cell>
          <cell r="G19" t="str">
            <v>DCB COMMERCIAL BANK PLC</v>
          </cell>
        </row>
        <row r="20">
          <cell r="B20" t="str">
            <v>CRDB BANK PLC</v>
          </cell>
          <cell r="G20" t="str">
            <v>DIAMOND TRUST BANK (T) LTD.</v>
          </cell>
        </row>
        <row r="21">
          <cell r="B21" t="str">
            <v>DCB COMMERCIAL BANK PLC</v>
          </cell>
          <cell r="G21" t="str">
            <v>ECOBANK TANZANIA LIMITED</v>
          </cell>
        </row>
        <row r="22">
          <cell r="B22" t="str">
            <v>DIAMOND TRUST BANK (T) LTD.</v>
          </cell>
          <cell r="G22" t="str">
            <v>EFC M.F.B TANZANIA LIMITED</v>
          </cell>
        </row>
        <row r="23">
          <cell r="B23" t="str">
            <v>ECOBANK TANZANIA LIMITED</v>
          </cell>
          <cell r="G23" t="str">
            <v>EQUITY BANK TANZANIA LIMITED</v>
          </cell>
        </row>
        <row r="24">
          <cell r="B24" t="str">
            <v>EFC M.F.B TANZANIA LIMITED</v>
          </cell>
          <cell r="G24" t="str">
            <v>EXIM BANK TANZANIA LIMITED</v>
          </cell>
        </row>
        <row r="25">
          <cell r="B25" t="str">
            <v>EQUITY BANK TANZANIA LIMITED</v>
          </cell>
          <cell r="G25" t="str">
            <v>FINCA M.F.B TANZANIA LIMITED</v>
          </cell>
        </row>
        <row r="26">
          <cell r="B26" t="str">
            <v>EXIM BANK TANZANIA LIMITED</v>
          </cell>
          <cell r="G26" t="str">
            <v>FIRST NATIONAL BANK TANZANIA LIMITED</v>
          </cell>
        </row>
        <row r="27">
          <cell r="B27" t="str">
            <v>FINCA M.F.B TANZANIA LIMITED</v>
          </cell>
          <cell r="G27" t="str">
            <v>GUARANTY TRUST BANK (TANZANIA) LIMITED</v>
          </cell>
        </row>
        <row r="28">
          <cell r="B28" t="str">
            <v>FIRST HOUSING FINANCE (TANZANIA) LIMITED</v>
          </cell>
          <cell r="G28" t="str">
            <v>HABIB AFRICAN BANK</v>
          </cell>
        </row>
        <row r="29">
          <cell r="B29" t="str">
            <v>FIRST NATIONAL BANK TANZANIA LIMITED</v>
          </cell>
          <cell r="G29" t="str">
            <v>HAKIKA MICROFINANCE BANK LIMITED</v>
          </cell>
        </row>
        <row r="30">
          <cell r="B30" t="str">
            <v>GUARANTY TRUST BANK (TANZANIA) LIMITED</v>
          </cell>
          <cell r="G30" t="str">
            <v>I &amp; M BANK TANZANIA LIMITED</v>
          </cell>
        </row>
        <row r="31">
          <cell r="B31" t="str">
            <v>HABIB AFRICAN BANK</v>
          </cell>
          <cell r="G31" t="str">
            <v>INTERNATIONAL COMMERCIAL BANK  (T) LTD.</v>
          </cell>
        </row>
        <row r="32">
          <cell r="B32" t="str">
            <v>HAKIKA MICROFINANCE BANK LIMITED</v>
          </cell>
          <cell r="G32" t="str">
            <v>KCB BANK TANZANIA LIMITED</v>
          </cell>
        </row>
        <row r="33">
          <cell r="B33" t="str">
            <v>I &amp; M BANK TANZANIA LIMITED</v>
          </cell>
          <cell r="G33" t="str">
            <v>KILIMANJARO COOPERATIVE BANK</v>
          </cell>
        </row>
        <row r="34">
          <cell r="B34" t="str">
            <v>INTERNATIONAL COMMERCIAL BANK  (T) LTD.</v>
          </cell>
          <cell r="G34" t="str">
            <v>LETSHEGO BANK (T) LIMITED</v>
          </cell>
        </row>
        <row r="35">
          <cell r="B35" t="str">
            <v>KCB BANK TANZANIA LIMITED</v>
          </cell>
          <cell r="G35" t="str">
            <v>MAENDELEO BANK PLC</v>
          </cell>
        </row>
        <row r="36">
          <cell r="B36" t="str">
            <v>KILIMANJARO COOPERATIVE BANK</v>
          </cell>
          <cell r="G36" t="str">
            <v>MKOMBOZI COMMERCIAL BANK LIMITED</v>
          </cell>
        </row>
        <row r="37">
          <cell r="B37" t="str">
            <v>LETSHEGO BANK (T) LIMITED</v>
          </cell>
          <cell r="G37" t="str">
            <v>MUFINDI COMMUNITY BANK LTD</v>
          </cell>
        </row>
        <row r="38">
          <cell r="B38" t="str">
            <v>MAENDELEO BANK PLC</v>
          </cell>
          <cell r="G38" t="str">
            <v>MWALIMU COMMERCIAL BANK PUBLIC LIMITED COMPANY</v>
          </cell>
        </row>
        <row r="39">
          <cell r="B39" t="str">
            <v>MKOMBOZI COMMERCIAL BANK LIMITED</v>
          </cell>
          <cell r="G39" t="str">
            <v>MWANGA RURAL COMMUNITY BANK</v>
          </cell>
        </row>
        <row r="40">
          <cell r="B40" t="str">
            <v>MUFINDI COMMUNITY BANK LTD</v>
          </cell>
          <cell r="G40" t="str">
            <v>NATIONAL MICROFINANCE BANK (T) LTD.</v>
          </cell>
        </row>
        <row r="41">
          <cell r="B41" t="str">
            <v>MWALIMU COMMERCIAL BANK PUBLIC LIMITED COMPANY</v>
          </cell>
          <cell r="G41" t="str">
            <v>NBC LIMITED</v>
          </cell>
        </row>
        <row r="42">
          <cell r="B42" t="str">
            <v>MWANGA RURAL COMMUNITY BANK</v>
          </cell>
          <cell r="G42" t="str">
            <v>NIC BANK TANZANIA LIMITED</v>
          </cell>
        </row>
        <row r="43">
          <cell r="B43" t="str">
            <v>NATIONAL MICROFINANCE BANK (T) LTD.</v>
          </cell>
          <cell r="G43" t="str">
            <v>PEOPLES BANK OF ZANZIBAR</v>
          </cell>
        </row>
        <row r="44">
          <cell r="B44" t="str">
            <v>NBC LIMITED</v>
          </cell>
          <cell r="G44" t="str">
            <v>STANBIC BANK (T) LTD</v>
          </cell>
        </row>
        <row r="45">
          <cell r="B45" t="str">
            <v>NIC BANK TANZANIA LIMITED</v>
          </cell>
          <cell r="G45" t="str">
            <v>STANDARD CHARTERED BANK (T) LTD</v>
          </cell>
        </row>
        <row r="46">
          <cell r="B46" t="str">
            <v>PEOPLES BANK OF ZANZIBAR</v>
          </cell>
          <cell r="G46" t="str">
            <v>TANDAHIMBA COMMUNITY BANK LTD</v>
          </cell>
        </row>
        <row r="47">
          <cell r="B47" t="str">
            <v>STANBIC BANK (T) LTD</v>
          </cell>
          <cell r="G47" t="str">
            <v>TANZANIA AGRICULTURAL DEVELOPMENT BANK</v>
          </cell>
        </row>
        <row r="48">
          <cell r="B48" t="str">
            <v>STANDARD CHARTERED BANK (T) LTD</v>
          </cell>
          <cell r="G48" t="str">
            <v>TANZANIA POSTAL BANK</v>
          </cell>
        </row>
        <row r="49">
          <cell r="B49" t="str">
            <v>TANDAHIMBA COMMUNITY BANK LTD</v>
          </cell>
          <cell r="G49" t="str">
            <v>TIB CORPORATE FINANCE LIMITED</v>
          </cell>
        </row>
        <row r="50">
          <cell r="B50" t="str">
            <v>TANZANIA AGRICULTURAL DEVELOPMENT BANK</v>
          </cell>
          <cell r="G50" t="str">
            <v>TIB DEVELOPMENT BANK LIMITED</v>
          </cell>
        </row>
        <row r="51">
          <cell r="B51" t="str">
            <v>TANZANIA MORTGAGE REFINANCE COMPANY LTD</v>
          </cell>
          <cell r="G51" t="str">
            <v>UCHUMI COMMERCIAL BANK LIMITED</v>
          </cell>
        </row>
        <row r="52">
          <cell r="B52" t="str">
            <v>TANZANIA POSTAL BANK</v>
          </cell>
          <cell r="G52" t="str">
            <v>UNITED BANK FOR AFRICA</v>
          </cell>
        </row>
        <row r="53">
          <cell r="B53" t="str">
            <v>TIB CORPORATE FINANCE LIMITED</v>
          </cell>
          <cell r="G53" t="str">
            <v>VISION FUND TANZANIA M.F.C LIMITED</v>
          </cell>
        </row>
        <row r="54">
          <cell r="B54" t="str">
            <v>TIB DEVELOPMENT BANK LIMITED</v>
          </cell>
          <cell r="G54" t="str">
            <v>YETU MICROFINANCE PLC</v>
          </cell>
        </row>
        <row r="55">
          <cell r="B55" t="str">
            <v>UCHUMI COMMERCIAL BANK LIMITED</v>
          </cell>
        </row>
        <row r="56">
          <cell r="B56" t="str">
            <v>UNITED BANK FOR AFRICA</v>
          </cell>
        </row>
        <row r="57">
          <cell r="B57" t="str">
            <v>VISION FUND TANZANIA M.F.C LIMITED</v>
          </cell>
        </row>
        <row r="58">
          <cell r="B58" t="str">
            <v>YETU MICROFINANCE PLC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FF8E-2599-4E99-A7E6-8F262E1B0890}">
  <dimension ref="A1:F74"/>
  <sheetViews>
    <sheetView workbookViewId="0">
      <selection activeCell="B35" sqref="B35"/>
    </sheetView>
  </sheetViews>
  <sheetFormatPr defaultRowHeight="12.75"/>
  <cols>
    <col min="1" max="1" width="6.42578125" style="51" customWidth="1"/>
    <col min="2" max="2" width="67.140625" style="41" customWidth="1"/>
    <col min="3" max="3" width="28.5703125" style="52" customWidth="1"/>
    <col min="4" max="4" width="12.5703125" style="41" bestFit="1" customWidth="1"/>
    <col min="5" max="16384" width="9.140625" style="41"/>
  </cols>
  <sheetData>
    <row r="1" spans="1:6" s="3" customFormat="1">
      <c r="A1" s="1"/>
      <c r="B1" s="1"/>
      <c r="C1" s="2"/>
      <c r="D1" s="2"/>
      <c r="E1" s="2"/>
      <c r="F1" s="2"/>
    </row>
    <row r="2" spans="1:6" s="3" customFormat="1">
      <c r="A2" s="4" t="s">
        <v>0</v>
      </c>
      <c r="B2" s="5"/>
      <c r="C2" s="6" t="s">
        <v>1</v>
      </c>
      <c r="D2" s="7"/>
      <c r="E2" s="7"/>
      <c r="F2" s="8"/>
    </row>
    <row r="3" spans="1:6" s="3" customFormat="1">
      <c r="A3" s="9"/>
      <c r="B3" s="10"/>
      <c r="C3" s="11"/>
      <c r="D3" s="11"/>
      <c r="E3" s="11"/>
      <c r="F3" s="11"/>
    </row>
    <row r="4" spans="1:6" s="3" customFormat="1">
      <c r="A4" s="12" t="s">
        <v>2</v>
      </c>
      <c r="B4" s="12"/>
      <c r="C4" s="13" t="s">
        <v>3</v>
      </c>
      <c r="D4" s="14"/>
      <c r="E4" s="14"/>
      <c r="F4" s="15"/>
    </row>
    <row r="5" spans="1:6" s="3" customFormat="1">
      <c r="A5" s="10"/>
      <c r="B5" s="10"/>
      <c r="C5" s="16"/>
      <c r="D5" s="17"/>
      <c r="E5" s="17"/>
      <c r="F5" s="17"/>
    </row>
    <row r="6" spans="1:6" s="3" customFormat="1">
      <c r="A6" s="12" t="s">
        <v>4</v>
      </c>
      <c r="B6" s="12"/>
      <c r="C6" s="18">
        <v>44561</v>
      </c>
      <c r="D6" s="19"/>
      <c r="E6" s="19"/>
      <c r="F6" s="19"/>
    </row>
    <row r="7" spans="1:6" s="23" customFormat="1">
      <c r="A7" s="20"/>
      <c r="B7" s="21"/>
      <c r="C7" s="22"/>
      <c r="D7" s="19"/>
      <c r="E7" s="19"/>
      <c r="F7" s="19"/>
    </row>
    <row r="8" spans="1:6" s="3" customFormat="1">
      <c r="A8" s="24" t="s">
        <v>5</v>
      </c>
      <c r="B8" s="24"/>
      <c r="C8" s="16"/>
      <c r="E8" s="25"/>
    </row>
    <row r="9" spans="1:6" s="27" customFormat="1">
      <c r="A9" s="21"/>
      <c r="B9" s="21"/>
      <c r="C9" s="26"/>
    </row>
    <row r="10" spans="1:6" s="27" customFormat="1">
      <c r="A10" s="28" t="s">
        <v>6</v>
      </c>
      <c r="B10" s="28"/>
      <c r="C10" s="26"/>
    </row>
    <row r="11" spans="1:6" s="27" customFormat="1">
      <c r="A11" s="29"/>
      <c r="B11" s="30"/>
      <c r="C11" s="26"/>
    </row>
    <row r="12" spans="1:6" s="35" customFormat="1">
      <c r="A12" s="31" t="s">
        <v>7</v>
      </c>
      <c r="B12" s="32" t="s">
        <v>8</v>
      </c>
      <c r="C12" s="33" t="s">
        <v>9</v>
      </c>
      <c r="D12" s="34" t="s">
        <v>10</v>
      </c>
    </row>
    <row r="13" spans="1:6" s="35" customFormat="1" ht="15" customHeight="1">
      <c r="A13" s="31" t="s">
        <v>11</v>
      </c>
      <c r="B13" s="32" t="s">
        <v>12</v>
      </c>
      <c r="C13" s="33" t="s">
        <v>13</v>
      </c>
      <c r="D13" s="34" t="s">
        <v>14</v>
      </c>
    </row>
    <row r="14" spans="1:6" s="3" customFormat="1" ht="15" customHeight="1">
      <c r="A14" s="36">
        <v>1</v>
      </c>
      <c r="B14" s="37" t="s">
        <v>15</v>
      </c>
      <c r="C14" s="38">
        <f>SUM(C15:C16,C19:C20)</f>
        <v>10</v>
      </c>
      <c r="D14" s="39"/>
    </row>
    <row r="15" spans="1:6" s="3" customFormat="1" ht="15" customHeight="1">
      <c r="A15" s="36">
        <v>2</v>
      </c>
      <c r="B15" s="37" t="s">
        <v>16</v>
      </c>
      <c r="C15" s="40">
        <v>10</v>
      </c>
      <c r="D15" s="39"/>
    </row>
    <row r="16" spans="1:6" ht="15" customHeight="1">
      <c r="A16" s="36">
        <v>3</v>
      </c>
      <c r="B16" s="37" t="s">
        <v>17</v>
      </c>
      <c r="C16" s="38">
        <f>SUM(C17:C18)</f>
        <v>0</v>
      </c>
      <c r="D16" s="39"/>
    </row>
    <row r="17" spans="1:4" ht="15" customHeight="1">
      <c r="A17" s="36">
        <v>4</v>
      </c>
      <c r="B17" s="42" t="s">
        <v>18</v>
      </c>
      <c r="C17" s="40">
        <v>0</v>
      </c>
      <c r="D17" s="39"/>
    </row>
    <row r="18" spans="1:4" ht="15" customHeight="1">
      <c r="A18" s="36">
        <v>5</v>
      </c>
      <c r="B18" s="42" t="s">
        <v>19</v>
      </c>
      <c r="C18" s="40">
        <v>0</v>
      </c>
      <c r="D18" s="39"/>
    </row>
    <row r="19" spans="1:4" ht="15" customHeight="1">
      <c r="A19" s="36">
        <v>6</v>
      </c>
      <c r="B19" s="37" t="s">
        <v>20</v>
      </c>
      <c r="C19" s="40">
        <v>0</v>
      </c>
      <c r="D19" s="39"/>
    </row>
    <row r="20" spans="1:4" ht="15" customHeight="1">
      <c r="A20" s="36">
        <v>7</v>
      </c>
      <c r="B20" s="37" t="s">
        <v>21</v>
      </c>
      <c r="C20" s="40">
        <v>0</v>
      </c>
      <c r="D20" s="39"/>
    </row>
    <row r="21" spans="1:4" ht="15" customHeight="1">
      <c r="A21" s="36">
        <v>8</v>
      </c>
      <c r="B21" s="37" t="s">
        <v>22</v>
      </c>
      <c r="C21" s="43">
        <f>SUM(C22:C25)-C26</f>
        <v>0</v>
      </c>
      <c r="D21" s="39"/>
    </row>
    <row r="22" spans="1:4" s="3" customFormat="1" ht="15" customHeight="1">
      <c r="A22" s="36">
        <v>9</v>
      </c>
      <c r="B22" s="37" t="s">
        <v>23</v>
      </c>
      <c r="C22" s="40">
        <v>0</v>
      </c>
      <c r="D22" s="39"/>
    </row>
    <row r="23" spans="1:4" ht="15" customHeight="1">
      <c r="A23" s="36">
        <v>10</v>
      </c>
      <c r="B23" s="37" t="s">
        <v>24</v>
      </c>
      <c r="C23" s="40">
        <v>0</v>
      </c>
      <c r="D23" s="39"/>
    </row>
    <row r="24" spans="1:4" ht="15" customHeight="1">
      <c r="A24" s="36">
        <v>11</v>
      </c>
      <c r="B24" s="37" t="s">
        <v>25</v>
      </c>
      <c r="C24" s="40">
        <v>0</v>
      </c>
      <c r="D24" s="39"/>
    </row>
    <row r="25" spans="1:4" ht="15" customHeight="1">
      <c r="A25" s="36">
        <v>12</v>
      </c>
      <c r="B25" s="37" t="s">
        <v>26</v>
      </c>
      <c r="C25" s="40">
        <v>0</v>
      </c>
      <c r="D25" s="39"/>
    </row>
    <row r="26" spans="1:4" ht="15" customHeight="1">
      <c r="A26" s="36">
        <v>13</v>
      </c>
      <c r="B26" s="37" t="s">
        <v>27</v>
      </c>
      <c r="C26" s="40">
        <v>0</v>
      </c>
      <c r="D26" s="39"/>
    </row>
    <row r="27" spans="1:4" s="3" customFormat="1" ht="15" customHeight="1">
      <c r="A27" s="36">
        <v>14</v>
      </c>
      <c r="B27" s="37" t="s">
        <v>28</v>
      </c>
      <c r="C27" s="38">
        <f>C28-C29</f>
        <v>0</v>
      </c>
      <c r="D27" s="39"/>
    </row>
    <row r="28" spans="1:4" s="3" customFormat="1" ht="15" customHeight="1">
      <c r="A28" s="36">
        <v>15</v>
      </c>
      <c r="B28" s="37" t="s">
        <v>29</v>
      </c>
      <c r="C28" s="40">
        <v>0</v>
      </c>
      <c r="D28" s="39"/>
    </row>
    <row r="29" spans="1:4" s="3" customFormat="1" ht="15" customHeight="1">
      <c r="A29" s="36">
        <v>16</v>
      </c>
      <c r="B29" s="37" t="s">
        <v>30</v>
      </c>
      <c r="C29" s="40">
        <v>0</v>
      </c>
      <c r="D29" s="39"/>
    </row>
    <row r="30" spans="1:4" ht="15" customHeight="1">
      <c r="A30" s="36">
        <v>17</v>
      </c>
      <c r="B30" s="37" t="s">
        <v>31</v>
      </c>
      <c r="C30" s="38">
        <f>C31+C32+C33+C34-C35</f>
        <v>0</v>
      </c>
      <c r="D30" s="39"/>
    </row>
    <row r="31" spans="1:4" ht="15" customHeight="1">
      <c r="A31" s="36">
        <v>18</v>
      </c>
      <c r="B31" s="37" t="s">
        <v>32</v>
      </c>
      <c r="C31" s="40">
        <v>0</v>
      </c>
      <c r="D31" s="39"/>
    </row>
    <row r="32" spans="1:4" ht="15" customHeight="1">
      <c r="A32" s="36">
        <v>19</v>
      </c>
      <c r="B32" s="37" t="s">
        <v>33</v>
      </c>
      <c r="C32" s="40">
        <v>0</v>
      </c>
      <c r="D32" s="39"/>
    </row>
    <row r="33" spans="1:4" s="3" customFormat="1" ht="15" customHeight="1">
      <c r="A33" s="36">
        <v>20</v>
      </c>
      <c r="B33" s="37" t="s">
        <v>34</v>
      </c>
      <c r="C33" s="40">
        <v>0</v>
      </c>
      <c r="D33" s="39"/>
    </row>
    <row r="34" spans="1:4" ht="15" customHeight="1">
      <c r="A34" s="36">
        <v>21</v>
      </c>
      <c r="B34" s="37" t="s">
        <v>35</v>
      </c>
      <c r="C34" s="40">
        <v>0</v>
      </c>
      <c r="D34" s="39"/>
    </row>
    <row r="35" spans="1:4" ht="15" customHeight="1">
      <c r="A35" s="36">
        <v>22</v>
      </c>
      <c r="B35" s="37" t="s">
        <v>36</v>
      </c>
      <c r="C35" s="40">
        <v>0</v>
      </c>
      <c r="D35" s="39"/>
    </row>
    <row r="36" spans="1:4" ht="15" customHeight="1">
      <c r="A36" s="36">
        <v>23</v>
      </c>
      <c r="B36" s="37" t="s">
        <v>37</v>
      </c>
      <c r="C36" s="38">
        <f>C37-C38</f>
        <v>0</v>
      </c>
      <c r="D36" s="39"/>
    </row>
    <row r="37" spans="1:4" ht="15" customHeight="1">
      <c r="A37" s="36">
        <v>24</v>
      </c>
      <c r="B37" s="37" t="s">
        <v>38</v>
      </c>
      <c r="C37" s="40">
        <v>0</v>
      </c>
      <c r="D37" s="39"/>
    </row>
    <row r="38" spans="1:4" ht="15" customHeight="1">
      <c r="A38" s="36">
        <v>25</v>
      </c>
      <c r="B38" s="37" t="s">
        <v>39</v>
      </c>
      <c r="C38" s="40">
        <v>0</v>
      </c>
      <c r="D38" s="39"/>
    </row>
    <row r="39" spans="1:4" ht="15" customHeight="1">
      <c r="A39" s="36">
        <v>26</v>
      </c>
      <c r="B39" s="37" t="s">
        <v>40</v>
      </c>
      <c r="C39" s="38">
        <f>SUM(C40:C44)-C45</f>
        <v>0</v>
      </c>
      <c r="D39" s="39"/>
    </row>
    <row r="40" spans="1:4" ht="15" customHeight="1">
      <c r="A40" s="36">
        <v>27</v>
      </c>
      <c r="B40" s="44" t="s">
        <v>41</v>
      </c>
      <c r="C40" s="40">
        <v>0</v>
      </c>
      <c r="D40" s="39"/>
    </row>
    <row r="41" spans="1:4" ht="15" customHeight="1">
      <c r="A41" s="36">
        <v>28</v>
      </c>
      <c r="B41" s="44" t="s">
        <v>42</v>
      </c>
      <c r="C41" s="40">
        <v>0</v>
      </c>
      <c r="D41" s="39"/>
    </row>
    <row r="42" spans="1:4" ht="15" customHeight="1">
      <c r="A42" s="36">
        <v>29</v>
      </c>
      <c r="B42" s="44" t="s">
        <v>43</v>
      </c>
      <c r="C42" s="40">
        <v>0</v>
      </c>
      <c r="D42" s="39"/>
    </row>
    <row r="43" spans="1:4" ht="15" customHeight="1">
      <c r="A43" s="36">
        <v>30</v>
      </c>
      <c r="B43" s="44" t="s">
        <v>44</v>
      </c>
      <c r="C43" s="40">
        <v>0</v>
      </c>
      <c r="D43" s="39"/>
    </row>
    <row r="44" spans="1:4" ht="15" customHeight="1">
      <c r="A44" s="36">
        <v>31</v>
      </c>
      <c r="B44" s="44" t="s">
        <v>45</v>
      </c>
      <c r="C44" s="40">
        <v>0</v>
      </c>
      <c r="D44" s="39"/>
    </row>
    <row r="45" spans="1:4" ht="15" customHeight="1">
      <c r="A45" s="36">
        <v>32</v>
      </c>
      <c r="B45" s="44" t="s">
        <v>46</v>
      </c>
      <c r="C45" s="40">
        <v>0</v>
      </c>
      <c r="D45" s="39"/>
    </row>
    <row r="46" spans="1:4" ht="15" customHeight="1">
      <c r="A46" s="36">
        <v>33</v>
      </c>
      <c r="B46" s="45" t="s">
        <v>47</v>
      </c>
      <c r="C46" s="38">
        <f>C14+C21+C27+C30+C36+C39</f>
        <v>10</v>
      </c>
      <c r="D46" s="46" t="s">
        <v>48</v>
      </c>
    </row>
    <row r="47" spans="1:4" ht="15" customHeight="1">
      <c r="A47" s="36">
        <v>34</v>
      </c>
      <c r="B47" s="45" t="s">
        <v>49</v>
      </c>
      <c r="C47" s="47">
        <v>0</v>
      </c>
      <c r="D47" s="46"/>
    </row>
    <row r="48" spans="1:4" ht="15" customHeight="1">
      <c r="A48" s="36">
        <v>35</v>
      </c>
      <c r="B48" s="37" t="s">
        <v>50</v>
      </c>
      <c r="C48" s="38">
        <f>C49+C55</f>
        <v>0</v>
      </c>
      <c r="D48" s="39"/>
    </row>
    <row r="49" spans="1:4" s="3" customFormat="1" ht="15" customHeight="1">
      <c r="A49" s="36">
        <v>36</v>
      </c>
      <c r="B49" s="37" t="s">
        <v>51</v>
      </c>
      <c r="C49" s="38">
        <f>SUM(C50:C54)</f>
        <v>0</v>
      </c>
      <c r="D49" s="39"/>
    </row>
    <row r="50" spans="1:4" s="3" customFormat="1" ht="15" customHeight="1">
      <c r="A50" s="36">
        <v>37</v>
      </c>
      <c r="B50" s="44" t="s">
        <v>52</v>
      </c>
      <c r="C50" s="40">
        <v>0</v>
      </c>
      <c r="D50" s="46"/>
    </row>
    <row r="51" spans="1:4" ht="15" customHeight="1">
      <c r="A51" s="36">
        <v>38</v>
      </c>
      <c r="B51" s="44" t="s">
        <v>53</v>
      </c>
      <c r="C51" s="40">
        <v>0</v>
      </c>
      <c r="D51" s="46"/>
    </row>
    <row r="52" spans="1:4" ht="15" customHeight="1">
      <c r="A52" s="36">
        <v>39</v>
      </c>
      <c r="B52" s="44" t="s">
        <v>54</v>
      </c>
      <c r="C52" s="40">
        <v>0</v>
      </c>
      <c r="D52" s="39"/>
    </row>
    <row r="53" spans="1:4" s="3" customFormat="1" ht="15" customHeight="1">
      <c r="A53" s="36">
        <v>40</v>
      </c>
      <c r="B53" s="44" t="s">
        <v>55</v>
      </c>
      <c r="C53" s="40">
        <v>0</v>
      </c>
      <c r="D53" s="39"/>
    </row>
    <row r="54" spans="1:4" ht="15" customHeight="1">
      <c r="A54" s="36">
        <v>41</v>
      </c>
      <c r="B54" s="44" t="s">
        <v>56</v>
      </c>
      <c r="C54" s="40">
        <v>0</v>
      </c>
      <c r="D54" s="39"/>
    </row>
    <row r="55" spans="1:4" s="3" customFormat="1" ht="15" customHeight="1">
      <c r="A55" s="36">
        <v>42</v>
      </c>
      <c r="B55" s="37" t="s">
        <v>57</v>
      </c>
      <c r="C55" s="38">
        <f>SUM(C56:C58)</f>
        <v>0</v>
      </c>
      <c r="D55" s="39"/>
    </row>
    <row r="56" spans="1:4" ht="15" customHeight="1">
      <c r="A56" s="36">
        <v>43</v>
      </c>
      <c r="B56" s="44" t="s">
        <v>52</v>
      </c>
      <c r="C56" s="40">
        <v>0</v>
      </c>
      <c r="D56" s="39"/>
    </row>
    <row r="57" spans="1:4" ht="15" customHeight="1">
      <c r="A57" s="36">
        <v>44</v>
      </c>
      <c r="B57" s="44" t="s">
        <v>58</v>
      </c>
      <c r="C57" s="40">
        <v>0</v>
      </c>
      <c r="D57" s="39"/>
    </row>
    <row r="58" spans="1:4" ht="15" customHeight="1">
      <c r="A58" s="36">
        <v>45</v>
      </c>
      <c r="B58" s="44" t="s">
        <v>59</v>
      </c>
      <c r="C58" s="40">
        <v>0</v>
      </c>
      <c r="D58" s="39"/>
    </row>
    <row r="59" spans="1:4" ht="15" customHeight="1">
      <c r="A59" s="36">
        <v>46</v>
      </c>
      <c r="B59" s="37" t="s">
        <v>60</v>
      </c>
      <c r="C59" s="40">
        <v>0</v>
      </c>
      <c r="D59" s="39"/>
    </row>
    <row r="60" spans="1:4" ht="15" customHeight="1">
      <c r="A60" s="36">
        <v>47</v>
      </c>
      <c r="B60" s="37" t="s">
        <v>61</v>
      </c>
      <c r="C60" s="40">
        <v>0</v>
      </c>
      <c r="D60" s="39"/>
    </row>
    <row r="61" spans="1:4">
      <c r="A61" s="36">
        <v>48</v>
      </c>
      <c r="B61" s="37" t="s">
        <v>62</v>
      </c>
      <c r="C61" s="40">
        <v>0</v>
      </c>
      <c r="D61" s="39"/>
    </row>
    <row r="62" spans="1:4">
      <c r="A62" s="36">
        <v>49</v>
      </c>
      <c r="B62" s="37" t="s">
        <v>63</v>
      </c>
      <c r="C62" s="40">
        <v>0</v>
      </c>
      <c r="D62" s="39"/>
    </row>
    <row r="63" spans="1:4">
      <c r="A63" s="36">
        <v>50</v>
      </c>
      <c r="B63" s="45" t="s">
        <v>64</v>
      </c>
      <c r="C63" s="48">
        <f>C48+C59+C60+C61+C62</f>
        <v>0</v>
      </c>
      <c r="D63" s="39"/>
    </row>
    <row r="64" spans="1:4">
      <c r="A64" s="36">
        <v>51</v>
      </c>
      <c r="B64" s="45" t="s">
        <v>65</v>
      </c>
      <c r="C64" s="48">
        <f>SUM(C65:C73)</f>
        <v>10</v>
      </c>
      <c r="D64" s="39"/>
    </row>
    <row r="65" spans="1:4">
      <c r="A65" s="36">
        <v>52</v>
      </c>
      <c r="B65" s="49" t="s">
        <v>66</v>
      </c>
      <c r="C65" s="40">
        <v>10</v>
      </c>
      <c r="D65" s="39"/>
    </row>
    <row r="66" spans="1:4">
      <c r="A66" s="36">
        <v>53</v>
      </c>
      <c r="B66" s="49" t="s">
        <v>67</v>
      </c>
      <c r="C66" s="40">
        <v>0</v>
      </c>
      <c r="D66" s="39"/>
    </row>
    <row r="67" spans="1:4">
      <c r="A67" s="36">
        <v>54</v>
      </c>
      <c r="B67" s="49" t="s">
        <v>68</v>
      </c>
      <c r="C67" s="40">
        <v>0</v>
      </c>
      <c r="D67" s="39"/>
    </row>
    <row r="68" spans="1:4">
      <c r="A68" s="36">
        <v>55</v>
      </c>
      <c r="B68" s="50" t="s">
        <v>69</v>
      </c>
      <c r="C68" s="40">
        <v>0</v>
      </c>
      <c r="D68" s="39"/>
    </row>
    <row r="69" spans="1:4">
      <c r="A69" s="36">
        <v>56</v>
      </c>
      <c r="B69" s="49" t="s">
        <v>70</v>
      </c>
      <c r="C69" s="40">
        <v>0</v>
      </c>
      <c r="D69" s="39"/>
    </row>
    <row r="70" spans="1:4">
      <c r="A70" s="36">
        <v>57</v>
      </c>
      <c r="B70" s="49" t="s">
        <v>71</v>
      </c>
      <c r="C70" s="40">
        <v>0</v>
      </c>
      <c r="D70" s="39"/>
    </row>
    <row r="71" spans="1:4">
      <c r="A71" s="36">
        <v>58</v>
      </c>
      <c r="B71" s="49" t="s">
        <v>72</v>
      </c>
      <c r="C71" s="40">
        <v>0</v>
      </c>
      <c r="D71" s="39"/>
    </row>
    <row r="72" spans="1:4">
      <c r="A72" s="36">
        <v>59</v>
      </c>
      <c r="B72" s="49" t="s">
        <v>73</v>
      </c>
      <c r="C72" s="40">
        <v>0</v>
      </c>
      <c r="D72" s="39"/>
    </row>
    <row r="73" spans="1:4">
      <c r="A73" s="36">
        <v>60</v>
      </c>
      <c r="B73" s="49" t="s">
        <v>74</v>
      </c>
      <c r="C73" s="40">
        <v>0</v>
      </c>
      <c r="D73" s="39"/>
    </row>
    <row r="74" spans="1:4">
      <c r="A74" s="36">
        <v>61</v>
      </c>
      <c r="B74" s="45" t="s">
        <v>75</v>
      </c>
      <c r="C74" s="48">
        <f>C63+C64</f>
        <v>10</v>
      </c>
      <c r="D74" s="39"/>
    </row>
  </sheetData>
  <mergeCells count="6">
    <mergeCell ref="C1:F1"/>
    <mergeCell ref="C2:F2"/>
    <mergeCell ref="C3:F3"/>
    <mergeCell ref="C4:F4"/>
    <mergeCell ref="D5:F7"/>
    <mergeCell ref="A10:B10"/>
  </mergeCells>
  <dataValidations count="3">
    <dataValidation type="date" operator="greaterThan" allowBlank="1" showInputMessage="1" showErrorMessage="1" sqref="C6" xr:uid="{A9053326-DA4F-4CB3-A1B8-56AF8343FC75}">
      <formula1>36526</formula1>
    </dataValidation>
    <dataValidation type="decimal" showInputMessage="1" showErrorMessage="1" sqref="C15" xr:uid="{DEEAE052-70F1-411B-911C-973CCC4B244B}">
      <formula1>-9999999999999</formula1>
      <formula2>9999999999999</formula2>
    </dataValidation>
    <dataValidation type="decimal" allowBlank="1" showInputMessage="1" showErrorMessage="1" sqref="C65:C73 C17:C26 C28:C29 C31:C35 C37:C38 C40:C45 C50:C54 C56:C62" xr:uid="{20733E91-51D0-418E-9DA2-0220509E19B9}">
      <formula1>-9999999999999</formula1>
      <formula2>9999999999999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7056-C5B3-4C1D-8AFE-808B25A02ADC}">
  <dimension ref="A1:E55"/>
  <sheetViews>
    <sheetView workbookViewId="0">
      <selection activeCell="B19" sqref="B19"/>
    </sheetView>
  </sheetViews>
  <sheetFormatPr defaultColWidth="8.85546875" defaultRowHeight="12.75"/>
  <cols>
    <col min="1" max="1" width="5.42578125" style="54" customWidth="1"/>
    <col min="2" max="2" width="63.5703125" style="54" customWidth="1"/>
    <col min="3" max="3" width="21.85546875" style="82" customWidth="1"/>
    <col min="4" max="4" width="19.85546875" style="82" customWidth="1"/>
    <col min="5" max="5" width="16.140625" style="54" bestFit="1" customWidth="1"/>
    <col min="6" max="16384" width="8.85546875" style="54"/>
  </cols>
  <sheetData>
    <row r="1" spans="1:5">
      <c r="A1" s="53"/>
      <c r="B1" s="53"/>
      <c r="C1" s="53"/>
      <c r="D1" s="53"/>
      <c r="E1" s="53"/>
    </row>
    <row r="2" spans="1:5">
      <c r="A2" s="55" t="s">
        <v>76</v>
      </c>
      <c r="B2" s="56"/>
      <c r="C2" s="57" t="str">
        <f>[1]MSP2_01!C2</f>
        <v>TESTING MSP</v>
      </c>
      <c r="D2" s="58"/>
      <c r="E2" s="59"/>
    </row>
    <row r="3" spans="1:5">
      <c r="A3" s="9"/>
      <c r="B3" s="60"/>
      <c r="C3" s="61"/>
      <c r="D3" s="61"/>
      <c r="E3" s="61"/>
    </row>
    <row r="4" spans="1:5">
      <c r="A4" s="12" t="s">
        <v>77</v>
      </c>
      <c r="B4" s="60"/>
      <c r="C4" s="62" t="str">
        <f>[1]MSP2_01!C4</f>
        <v>M001</v>
      </c>
      <c r="D4" s="62"/>
      <c r="E4" s="62"/>
    </row>
    <row r="5" spans="1:5">
      <c r="A5" s="63"/>
      <c r="B5" s="64"/>
      <c r="C5" s="64"/>
      <c r="D5" s="64"/>
      <c r="E5" s="64"/>
    </row>
    <row r="6" spans="1:5">
      <c r="A6" s="65" t="s">
        <v>78</v>
      </c>
      <c r="B6" s="65"/>
      <c r="C6" s="66">
        <f>[1]MSP2_01!C6</f>
        <v>44561</v>
      </c>
      <c r="D6" s="67"/>
    </row>
    <row r="7" spans="1:5">
      <c r="A7" s="65"/>
      <c r="B7" s="65"/>
      <c r="C7" s="67"/>
      <c r="D7" s="67"/>
    </row>
    <row r="8" spans="1:5">
      <c r="A8" s="68" t="s">
        <v>79</v>
      </c>
      <c r="B8" s="68"/>
      <c r="C8" s="67"/>
      <c r="D8" s="69"/>
    </row>
    <row r="9" spans="1:5" ht="11.1" customHeight="1">
      <c r="A9" s="65"/>
      <c r="B9" s="65"/>
      <c r="C9" s="67"/>
      <c r="D9" s="69"/>
    </row>
    <row r="10" spans="1:5">
      <c r="A10" s="68" t="s">
        <v>6</v>
      </c>
      <c r="B10" s="68"/>
      <c r="C10" s="67"/>
      <c r="D10" s="67"/>
    </row>
    <row r="11" spans="1:5" ht="12" customHeight="1">
      <c r="A11" s="70"/>
      <c r="B11" s="70"/>
      <c r="C11" s="71"/>
      <c r="D11" s="71"/>
    </row>
    <row r="12" spans="1:5" ht="29.1" customHeight="1">
      <c r="A12" s="31" t="s">
        <v>7</v>
      </c>
      <c r="B12" s="32" t="s">
        <v>80</v>
      </c>
      <c r="C12" s="72" t="s">
        <v>81</v>
      </c>
      <c r="D12" s="73" t="s">
        <v>82</v>
      </c>
      <c r="E12" s="74" t="s">
        <v>10</v>
      </c>
    </row>
    <row r="13" spans="1:5">
      <c r="A13" s="75" t="s">
        <v>11</v>
      </c>
      <c r="B13" s="75" t="s">
        <v>12</v>
      </c>
      <c r="C13" s="76" t="s">
        <v>13</v>
      </c>
      <c r="D13" s="76" t="s">
        <v>14</v>
      </c>
      <c r="E13" s="74"/>
    </row>
    <row r="14" spans="1:5">
      <c r="A14" s="77">
        <v>1</v>
      </c>
      <c r="B14" s="37" t="s">
        <v>83</v>
      </c>
      <c r="C14" s="78">
        <f>SUM(C15:C19)</f>
        <v>0</v>
      </c>
      <c r="D14" s="78">
        <f>SUM(D15:D19)</f>
        <v>0</v>
      </c>
      <c r="E14" s="74"/>
    </row>
    <row r="15" spans="1:5">
      <c r="A15" s="77">
        <v>2</v>
      </c>
      <c r="B15" s="37" t="s">
        <v>84</v>
      </c>
      <c r="C15" s="79">
        <v>0</v>
      </c>
      <c r="D15" s="79">
        <v>0</v>
      </c>
      <c r="E15" s="74"/>
    </row>
    <row r="16" spans="1:5">
      <c r="A16" s="77">
        <v>3</v>
      </c>
      <c r="B16" s="37" t="s">
        <v>85</v>
      </c>
      <c r="C16" s="79">
        <v>0</v>
      </c>
      <c r="D16" s="79">
        <v>0</v>
      </c>
      <c r="E16" s="74"/>
    </row>
    <row r="17" spans="1:5">
      <c r="A17" s="77">
        <v>4</v>
      </c>
      <c r="B17" s="37" t="s">
        <v>86</v>
      </c>
      <c r="C17" s="79">
        <v>0</v>
      </c>
      <c r="D17" s="79">
        <v>0</v>
      </c>
      <c r="E17" s="74"/>
    </row>
    <row r="18" spans="1:5">
      <c r="A18" s="77">
        <v>5</v>
      </c>
      <c r="B18" s="37" t="s">
        <v>87</v>
      </c>
      <c r="C18" s="79">
        <v>0</v>
      </c>
      <c r="D18" s="79">
        <v>0</v>
      </c>
      <c r="E18" s="74"/>
    </row>
    <row r="19" spans="1:5">
      <c r="A19" s="77">
        <v>6</v>
      </c>
      <c r="B19" s="37" t="s">
        <v>88</v>
      </c>
      <c r="C19" s="79">
        <v>0</v>
      </c>
      <c r="D19" s="79">
        <v>0</v>
      </c>
      <c r="E19" s="74"/>
    </row>
    <row r="20" spans="1:5">
      <c r="A20" s="77">
        <v>7</v>
      </c>
      <c r="B20" s="37" t="s">
        <v>89</v>
      </c>
      <c r="C20" s="78">
        <f>SUM(C21:C25)</f>
        <v>0</v>
      </c>
      <c r="D20" s="78">
        <f>SUM(D21:D25)</f>
        <v>0</v>
      </c>
      <c r="E20" s="74"/>
    </row>
    <row r="21" spans="1:5" ht="14.85" customHeight="1">
      <c r="A21" s="77">
        <v>8</v>
      </c>
      <c r="B21" s="37" t="s">
        <v>90</v>
      </c>
      <c r="C21" s="79">
        <v>0</v>
      </c>
      <c r="D21" s="79">
        <v>0</v>
      </c>
      <c r="E21" s="74"/>
    </row>
    <row r="22" spans="1:5">
      <c r="A22" s="77">
        <v>9</v>
      </c>
      <c r="B22" s="37" t="s">
        <v>91</v>
      </c>
      <c r="C22" s="79">
        <v>0</v>
      </c>
      <c r="D22" s="79">
        <v>0</v>
      </c>
      <c r="E22" s="74"/>
    </row>
    <row r="23" spans="1:5">
      <c r="A23" s="77">
        <v>10</v>
      </c>
      <c r="B23" s="37" t="s">
        <v>92</v>
      </c>
      <c r="C23" s="79">
        <v>0</v>
      </c>
      <c r="D23" s="79">
        <v>0</v>
      </c>
      <c r="E23" s="74"/>
    </row>
    <row r="24" spans="1:5">
      <c r="A24" s="77">
        <v>11</v>
      </c>
      <c r="B24" s="37" t="s">
        <v>93</v>
      </c>
      <c r="C24" s="79">
        <v>0</v>
      </c>
      <c r="D24" s="79">
        <v>0</v>
      </c>
      <c r="E24" s="74"/>
    </row>
    <row r="25" spans="1:5">
      <c r="A25" s="77">
        <v>12</v>
      </c>
      <c r="B25" s="37" t="s">
        <v>88</v>
      </c>
      <c r="C25" s="79">
        <v>0</v>
      </c>
      <c r="D25" s="79">
        <v>0</v>
      </c>
      <c r="E25" s="74"/>
    </row>
    <row r="26" spans="1:5">
      <c r="A26" s="77">
        <v>13</v>
      </c>
      <c r="B26" s="37" t="s">
        <v>94</v>
      </c>
      <c r="C26" s="78">
        <f>C14-C20</f>
        <v>0</v>
      </c>
      <c r="D26" s="78">
        <f>D14-D20</f>
        <v>0</v>
      </c>
      <c r="E26" s="74"/>
    </row>
    <row r="27" spans="1:5">
      <c r="A27" s="77">
        <v>14</v>
      </c>
      <c r="B27" s="37" t="s">
        <v>95</v>
      </c>
      <c r="C27" s="79">
        <v>0</v>
      </c>
      <c r="D27" s="79">
        <v>0</v>
      </c>
      <c r="E27" s="74"/>
    </row>
    <row r="28" spans="1:5">
      <c r="A28" s="77">
        <v>15</v>
      </c>
      <c r="B28" s="37" t="s">
        <v>96</v>
      </c>
      <c r="C28" s="79">
        <v>0</v>
      </c>
      <c r="D28" s="79">
        <v>0</v>
      </c>
      <c r="E28" s="74"/>
    </row>
    <row r="29" spans="1:5">
      <c r="A29" s="77">
        <v>16</v>
      </c>
      <c r="B29" s="37" t="s">
        <v>97</v>
      </c>
      <c r="C29" s="78">
        <f>SUM(C30:C35)</f>
        <v>0</v>
      </c>
      <c r="D29" s="78">
        <f>SUM(D30:D35)</f>
        <v>0</v>
      </c>
      <c r="E29" s="80"/>
    </row>
    <row r="30" spans="1:5">
      <c r="A30" s="77">
        <v>17</v>
      </c>
      <c r="B30" s="37" t="s">
        <v>98</v>
      </c>
      <c r="C30" s="79">
        <v>0</v>
      </c>
      <c r="D30" s="79">
        <v>0</v>
      </c>
      <c r="E30" s="80"/>
    </row>
    <row r="31" spans="1:5">
      <c r="A31" s="77">
        <v>18</v>
      </c>
      <c r="B31" s="37" t="s">
        <v>99</v>
      </c>
      <c r="C31" s="79">
        <v>0</v>
      </c>
      <c r="D31" s="79">
        <v>0</v>
      </c>
      <c r="E31" s="80"/>
    </row>
    <row r="32" spans="1:5">
      <c r="A32" s="77">
        <v>19</v>
      </c>
      <c r="B32" s="37" t="s">
        <v>100</v>
      </c>
      <c r="C32" s="79">
        <v>0</v>
      </c>
      <c r="D32" s="79">
        <v>0</v>
      </c>
      <c r="E32" s="80"/>
    </row>
    <row r="33" spans="1:5">
      <c r="A33" s="77">
        <v>20</v>
      </c>
      <c r="B33" s="37" t="s">
        <v>101</v>
      </c>
      <c r="C33" s="79">
        <v>0</v>
      </c>
      <c r="D33" s="79">
        <v>0</v>
      </c>
      <c r="E33" s="80"/>
    </row>
    <row r="34" spans="1:5">
      <c r="A34" s="77">
        <v>21</v>
      </c>
      <c r="B34" s="37" t="s">
        <v>102</v>
      </c>
      <c r="C34" s="79">
        <v>0</v>
      </c>
      <c r="D34" s="79">
        <v>0</v>
      </c>
      <c r="E34" s="80"/>
    </row>
    <row r="35" spans="1:5">
      <c r="A35" s="77">
        <v>22</v>
      </c>
      <c r="B35" s="37" t="s">
        <v>103</v>
      </c>
      <c r="C35" s="79">
        <v>0</v>
      </c>
      <c r="D35" s="79">
        <v>0</v>
      </c>
      <c r="E35" s="80"/>
    </row>
    <row r="36" spans="1:5">
      <c r="A36" s="77">
        <v>23</v>
      </c>
      <c r="B36" s="37" t="s">
        <v>104</v>
      </c>
      <c r="C36" s="78">
        <f>SUM(C37:C52)</f>
        <v>0</v>
      </c>
      <c r="D36" s="78">
        <f>SUM(D37:D52)</f>
        <v>0</v>
      </c>
      <c r="E36" s="80"/>
    </row>
    <row r="37" spans="1:5">
      <c r="A37" s="77">
        <v>24</v>
      </c>
      <c r="B37" s="37" t="s">
        <v>105</v>
      </c>
      <c r="C37" s="79">
        <v>0</v>
      </c>
      <c r="D37" s="79">
        <v>0</v>
      </c>
      <c r="E37" s="80"/>
    </row>
    <row r="38" spans="1:5">
      <c r="A38" s="77">
        <v>25</v>
      </c>
      <c r="B38" s="37" t="s">
        <v>106</v>
      </c>
      <c r="C38" s="79">
        <v>0</v>
      </c>
      <c r="D38" s="79">
        <v>0</v>
      </c>
      <c r="E38" s="80"/>
    </row>
    <row r="39" spans="1:5">
      <c r="A39" s="77">
        <v>26</v>
      </c>
      <c r="B39" s="37" t="s">
        <v>107</v>
      </c>
      <c r="C39" s="79">
        <v>0</v>
      </c>
      <c r="D39" s="79">
        <v>0</v>
      </c>
      <c r="E39" s="80"/>
    </row>
    <row r="40" spans="1:5">
      <c r="A40" s="77">
        <v>27</v>
      </c>
      <c r="B40" s="37" t="s">
        <v>108</v>
      </c>
      <c r="C40" s="79">
        <v>0</v>
      </c>
      <c r="D40" s="79">
        <v>0</v>
      </c>
      <c r="E40" s="80"/>
    </row>
    <row r="41" spans="1:5">
      <c r="A41" s="77">
        <v>28</v>
      </c>
      <c r="B41" s="37" t="s">
        <v>109</v>
      </c>
      <c r="C41" s="79">
        <v>0</v>
      </c>
      <c r="D41" s="79">
        <v>0</v>
      </c>
      <c r="E41" s="80"/>
    </row>
    <row r="42" spans="1:5">
      <c r="A42" s="77">
        <v>29</v>
      </c>
      <c r="B42" s="37" t="s">
        <v>110</v>
      </c>
      <c r="C42" s="79">
        <v>0</v>
      </c>
      <c r="D42" s="79">
        <v>0</v>
      </c>
      <c r="E42" s="80"/>
    </row>
    <row r="43" spans="1:5">
      <c r="A43" s="77">
        <v>30</v>
      </c>
      <c r="B43" s="37" t="s">
        <v>111</v>
      </c>
      <c r="C43" s="79">
        <v>0</v>
      </c>
      <c r="D43" s="79">
        <v>0</v>
      </c>
      <c r="E43" s="80"/>
    </row>
    <row r="44" spans="1:5">
      <c r="A44" s="77">
        <v>31</v>
      </c>
      <c r="B44" s="37" t="s">
        <v>112</v>
      </c>
      <c r="C44" s="79">
        <v>0</v>
      </c>
      <c r="D44" s="79">
        <v>0</v>
      </c>
      <c r="E44" s="74"/>
    </row>
    <row r="45" spans="1:5">
      <c r="A45" s="77">
        <v>32</v>
      </c>
      <c r="B45" s="37" t="s">
        <v>113</v>
      </c>
      <c r="C45" s="79">
        <v>0</v>
      </c>
      <c r="D45" s="79">
        <v>0</v>
      </c>
      <c r="E45" s="74"/>
    </row>
    <row r="46" spans="1:5">
      <c r="A46" s="77">
        <v>33</v>
      </c>
      <c r="B46" s="37" t="s">
        <v>114</v>
      </c>
      <c r="C46" s="79">
        <v>0</v>
      </c>
      <c r="D46" s="79">
        <v>0</v>
      </c>
      <c r="E46" s="74"/>
    </row>
    <row r="47" spans="1:5">
      <c r="A47" s="77">
        <v>34</v>
      </c>
      <c r="B47" s="37" t="s">
        <v>115</v>
      </c>
      <c r="C47" s="79">
        <v>0</v>
      </c>
      <c r="D47" s="79">
        <v>0</v>
      </c>
      <c r="E47" s="74"/>
    </row>
    <row r="48" spans="1:5">
      <c r="A48" s="77">
        <v>35</v>
      </c>
      <c r="B48" s="37" t="s">
        <v>116</v>
      </c>
      <c r="C48" s="79">
        <v>0</v>
      </c>
      <c r="D48" s="79">
        <v>0</v>
      </c>
      <c r="E48" s="74"/>
    </row>
    <row r="49" spans="1:5">
      <c r="A49" s="77">
        <v>36</v>
      </c>
      <c r="B49" s="37" t="s">
        <v>117</v>
      </c>
      <c r="C49" s="79">
        <v>0</v>
      </c>
      <c r="D49" s="79">
        <v>0</v>
      </c>
      <c r="E49" s="74"/>
    </row>
    <row r="50" spans="1:5">
      <c r="A50" s="77">
        <v>37</v>
      </c>
      <c r="B50" s="37" t="s">
        <v>118</v>
      </c>
      <c r="C50" s="79">
        <v>0</v>
      </c>
      <c r="D50" s="79">
        <v>0</v>
      </c>
      <c r="E50" s="74"/>
    </row>
    <row r="51" spans="1:5">
      <c r="A51" s="77">
        <v>38</v>
      </c>
      <c r="B51" s="37" t="s">
        <v>119</v>
      </c>
      <c r="C51" s="79">
        <v>0</v>
      </c>
      <c r="D51" s="79">
        <v>0</v>
      </c>
      <c r="E51" s="74"/>
    </row>
    <row r="52" spans="1:5">
      <c r="A52" s="77">
        <v>39</v>
      </c>
      <c r="B52" s="37" t="s">
        <v>120</v>
      </c>
      <c r="C52" s="79">
        <v>0</v>
      </c>
      <c r="D52" s="79">
        <v>0</v>
      </c>
      <c r="E52" s="74"/>
    </row>
    <row r="53" spans="1:5">
      <c r="A53" s="77">
        <v>40</v>
      </c>
      <c r="B53" s="45" t="s">
        <v>121</v>
      </c>
      <c r="C53" s="78">
        <f>C26+C29-SUM(C27:C28,C36)</f>
        <v>0</v>
      </c>
      <c r="D53" s="78">
        <f>D26+D29-SUM(D27:D28,D36)</f>
        <v>0</v>
      </c>
      <c r="E53" s="74"/>
    </row>
    <row r="54" spans="1:5">
      <c r="A54" s="77">
        <v>41</v>
      </c>
      <c r="B54" s="45" t="s">
        <v>122</v>
      </c>
      <c r="C54" s="79">
        <v>0</v>
      </c>
      <c r="D54" s="79">
        <v>0</v>
      </c>
      <c r="E54" s="74"/>
    </row>
    <row r="55" spans="1:5">
      <c r="A55" s="77">
        <v>42</v>
      </c>
      <c r="B55" s="45" t="s">
        <v>123</v>
      </c>
      <c r="C55" s="78">
        <f>C53-C54</f>
        <v>0</v>
      </c>
      <c r="D55" s="78">
        <f>D53-D54</f>
        <v>0</v>
      </c>
      <c r="E55" s="81" t="s">
        <v>124</v>
      </c>
    </row>
  </sheetData>
  <mergeCells count="7">
    <mergeCell ref="A10:B10"/>
    <mergeCell ref="A1:E1"/>
    <mergeCell ref="C2:E2"/>
    <mergeCell ref="C3:E3"/>
    <mergeCell ref="C4:E4"/>
    <mergeCell ref="B5:E5"/>
    <mergeCell ref="A8:B8"/>
  </mergeCells>
  <dataValidations count="1">
    <dataValidation type="decimal" allowBlank="1" showInputMessage="1" showErrorMessage="1" sqref="C54:D54 C21:D25 C27:D28 C30:D35 C37:D52 C15:D19" xr:uid="{DBA010CC-CEE6-421E-A41A-99DEBB719D59}">
      <formula1>-9999999999999</formula1>
      <formula2>9999999999999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7D94-C898-4339-B714-55F1AD6187CA}">
  <dimension ref="A1:K104"/>
  <sheetViews>
    <sheetView zoomScale="40" zoomScaleNormal="40" workbookViewId="0">
      <selection activeCell="E29" sqref="E29"/>
    </sheetView>
  </sheetViews>
  <sheetFormatPr defaultRowHeight="11.25"/>
  <cols>
    <col min="1" max="1" width="11" style="273" customWidth="1"/>
    <col min="2" max="2" width="40.140625" style="261" customWidth="1"/>
    <col min="3" max="3" width="16.5703125" style="261" customWidth="1"/>
    <col min="4" max="4" width="21.5703125" style="261" customWidth="1"/>
    <col min="5" max="5" width="19.5703125" style="261" customWidth="1"/>
    <col min="6" max="6" width="22.42578125" style="261" customWidth="1"/>
    <col min="7" max="7" width="19.5703125" style="261" customWidth="1"/>
    <col min="8" max="8" width="21.5703125" style="261" customWidth="1"/>
    <col min="9" max="9" width="20.85546875" style="261" customWidth="1"/>
    <col min="10" max="10" width="19.42578125" style="261" customWidth="1"/>
    <col min="11" max="11" width="46.5703125" style="261" bestFit="1" customWidth="1"/>
    <col min="12" max="16384" width="9.140625" style="261"/>
  </cols>
  <sheetData>
    <row r="1" spans="1:11" ht="12.75">
      <c r="A1" s="70"/>
      <c r="B1" s="317"/>
      <c r="C1" s="318"/>
      <c r="D1" s="262"/>
      <c r="E1" s="262"/>
      <c r="F1" s="262"/>
      <c r="G1" s="118"/>
      <c r="H1" s="118"/>
      <c r="I1" s="118"/>
    </row>
    <row r="2" spans="1:11" ht="12.75">
      <c r="A2" s="118" t="s">
        <v>200</v>
      </c>
      <c r="B2" s="317"/>
      <c r="C2" s="318"/>
      <c r="D2" s="319" t="str">
        <f>[1]MSP2_01!C2</f>
        <v>TESTING MSP</v>
      </c>
      <c r="E2" s="319"/>
      <c r="F2" s="319"/>
      <c r="G2" s="320"/>
      <c r="H2" s="118"/>
      <c r="I2" s="118"/>
    </row>
    <row r="3" spans="1:11" ht="12.75">
      <c r="A3" s="9"/>
      <c r="B3" s="317"/>
      <c r="C3" s="318"/>
      <c r="D3" s="321"/>
      <c r="E3" s="322"/>
      <c r="F3" s="322"/>
      <c r="G3" s="322"/>
      <c r="H3" s="118"/>
      <c r="I3" s="118"/>
    </row>
    <row r="4" spans="1:11" ht="12.75">
      <c r="A4" s="9" t="s">
        <v>2</v>
      </c>
      <c r="B4" s="317"/>
      <c r="C4" s="323"/>
      <c r="D4" s="4" t="str">
        <f>[1]MSP2_01!C4</f>
        <v>M001</v>
      </c>
      <c r="E4" s="322"/>
      <c r="F4" s="322"/>
      <c r="G4" s="322"/>
      <c r="H4" s="118"/>
      <c r="I4" s="118"/>
    </row>
    <row r="5" spans="1:11" ht="12.75">
      <c r="A5" s="63"/>
      <c r="B5" s="317"/>
      <c r="C5" s="118"/>
      <c r="D5" s="320"/>
      <c r="E5" s="322"/>
      <c r="F5" s="322"/>
      <c r="G5" s="322"/>
      <c r="H5" s="118"/>
      <c r="I5" s="118"/>
    </row>
    <row r="6" spans="1:11" ht="12.75">
      <c r="A6" s="63" t="s">
        <v>615</v>
      </c>
      <c r="B6" s="105"/>
      <c r="C6" s="262"/>
      <c r="D6" s="127">
        <f>[1]MSP2_01!C6</f>
        <v>44561</v>
      </c>
      <c r="E6" s="322"/>
      <c r="F6" s="322"/>
      <c r="G6" s="322"/>
      <c r="H6" s="118"/>
      <c r="I6" s="118"/>
      <c r="J6" s="105"/>
      <c r="K6" s="105"/>
    </row>
    <row r="7" spans="1:11" ht="12.75">
      <c r="A7" s="324"/>
      <c r="B7" s="317" t="s">
        <v>145</v>
      </c>
      <c r="C7" s="262"/>
      <c r="D7" s="118"/>
      <c r="E7" s="118"/>
      <c r="F7" s="118"/>
      <c r="G7" s="118"/>
      <c r="H7" s="118"/>
      <c r="I7" s="118"/>
      <c r="J7" s="105"/>
      <c r="K7" s="105"/>
    </row>
    <row r="8" spans="1:11" ht="12.75">
      <c r="A8" s="129" t="s">
        <v>616</v>
      </c>
      <c r="B8" s="317"/>
      <c r="C8" s="262"/>
      <c r="D8" s="118"/>
      <c r="E8" s="118"/>
      <c r="F8" s="118"/>
      <c r="G8" s="118"/>
      <c r="H8" s="118" t="s">
        <v>617</v>
      </c>
      <c r="I8" s="118"/>
      <c r="J8" s="105"/>
      <c r="K8" s="105"/>
    </row>
    <row r="9" spans="1:11" ht="12.75">
      <c r="A9" s="325"/>
      <c r="B9" s="326"/>
      <c r="C9" s="327"/>
      <c r="D9" s="327"/>
      <c r="E9" s="327"/>
      <c r="F9" s="327"/>
      <c r="G9" s="327"/>
      <c r="H9" s="328"/>
      <c r="I9" s="268"/>
      <c r="J9" s="105"/>
      <c r="K9" s="105"/>
    </row>
    <row r="10" spans="1:11" ht="12.75">
      <c r="A10" s="329"/>
      <c r="B10" s="330"/>
      <c r="C10" s="105"/>
      <c r="D10" s="331"/>
      <c r="E10" s="332"/>
      <c r="F10" s="331"/>
      <c r="G10" s="333"/>
      <c r="H10" s="334"/>
      <c r="I10" s="333"/>
      <c r="J10" s="335"/>
      <c r="K10" s="105"/>
    </row>
    <row r="11" spans="1:11" ht="12.75">
      <c r="A11" s="83" t="s">
        <v>7</v>
      </c>
      <c r="B11" s="84" t="s">
        <v>125</v>
      </c>
      <c r="C11" s="84" t="s">
        <v>126</v>
      </c>
      <c r="D11" s="85" t="s">
        <v>127</v>
      </c>
      <c r="E11" s="84" t="s">
        <v>128</v>
      </c>
      <c r="F11" s="86" t="s">
        <v>129</v>
      </c>
      <c r="G11" s="87"/>
      <c r="H11" s="87"/>
      <c r="I11" s="88"/>
      <c r="J11" s="89" t="s">
        <v>130</v>
      </c>
      <c r="K11" s="90" t="s">
        <v>10</v>
      </c>
    </row>
    <row r="12" spans="1:11" ht="25.5" customHeight="1">
      <c r="A12" s="91"/>
      <c r="B12" s="92"/>
      <c r="C12" s="92"/>
      <c r="D12" s="93"/>
      <c r="E12" s="92"/>
      <c r="F12" s="32" t="s">
        <v>131</v>
      </c>
      <c r="G12" s="32" t="s">
        <v>132</v>
      </c>
      <c r="H12" s="31" t="s">
        <v>133</v>
      </c>
      <c r="I12" s="32" t="s">
        <v>134</v>
      </c>
      <c r="J12" s="94"/>
      <c r="K12" s="90"/>
    </row>
    <row r="13" spans="1:11" ht="12.75">
      <c r="A13" s="95" t="s">
        <v>11</v>
      </c>
      <c r="B13" s="96" t="s">
        <v>12</v>
      </c>
      <c r="C13" s="97" t="s">
        <v>13</v>
      </c>
      <c r="D13" s="97" t="s">
        <v>14</v>
      </c>
      <c r="E13" s="98" t="s">
        <v>135</v>
      </c>
      <c r="F13" s="96" t="s">
        <v>136</v>
      </c>
      <c r="G13" s="96" t="s">
        <v>137</v>
      </c>
      <c r="H13" s="96" t="s">
        <v>138</v>
      </c>
      <c r="I13" s="96" t="s">
        <v>139</v>
      </c>
      <c r="J13" s="99" t="s">
        <v>140</v>
      </c>
      <c r="K13" s="100"/>
    </row>
    <row r="14" spans="1:11" ht="12.75">
      <c r="A14" s="101">
        <v>1</v>
      </c>
      <c r="B14" s="45" t="s">
        <v>141</v>
      </c>
      <c r="C14" s="40">
        <v>0</v>
      </c>
      <c r="D14" s="102">
        <f>SUM(E14:I14)</f>
        <v>1</v>
      </c>
      <c r="E14" s="40">
        <v>1</v>
      </c>
      <c r="F14" s="40">
        <v>0</v>
      </c>
      <c r="G14" s="40">
        <v>0</v>
      </c>
      <c r="H14" s="40">
        <v>0</v>
      </c>
      <c r="I14" s="40">
        <v>0</v>
      </c>
      <c r="J14" s="103">
        <v>0</v>
      </c>
      <c r="K14" s="100"/>
    </row>
    <row r="15" spans="1:11" ht="12.75">
      <c r="A15" s="101">
        <v>2</v>
      </c>
      <c r="B15" s="104"/>
      <c r="C15" s="97"/>
      <c r="D15" s="97"/>
      <c r="E15" s="98"/>
      <c r="F15" s="96"/>
      <c r="G15" s="96"/>
      <c r="H15" s="96"/>
      <c r="I15" s="96"/>
      <c r="J15" s="99"/>
      <c r="K15" s="100"/>
    </row>
    <row r="16" spans="1:11" ht="12.75">
      <c r="A16" s="101">
        <v>3</v>
      </c>
      <c r="B16" s="104"/>
      <c r="C16" s="97"/>
      <c r="D16" s="97"/>
      <c r="E16" s="98"/>
      <c r="F16" s="96"/>
      <c r="G16" s="96"/>
      <c r="H16" s="96"/>
      <c r="I16" s="96"/>
      <c r="J16" s="99"/>
      <c r="K16" s="100"/>
    </row>
    <row r="17" spans="1:11" ht="12.75">
      <c r="A17" s="101">
        <v>4</v>
      </c>
      <c r="B17" s="45" t="s">
        <v>142</v>
      </c>
      <c r="C17" s="40">
        <v>0</v>
      </c>
      <c r="D17" s="102">
        <f>SUM(E17:I17)</f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103">
        <v>0</v>
      </c>
      <c r="K17" s="100"/>
    </row>
    <row r="18" spans="1:11" ht="12.75">
      <c r="A18" s="101">
        <v>5</v>
      </c>
      <c r="B18" s="45"/>
      <c r="C18" s="97"/>
      <c r="D18" s="97"/>
      <c r="E18" s="98"/>
      <c r="F18" s="96"/>
      <c r="G18" s="96"/>
      <c r="H18" s="96"/>
      <c r="I18" s="96"/>
      <c r="J18" s="99"/>
      <c r="K18" s="100"/>
    </row>
    <row r="19" spans="1:11" ht="12.75">
      <c r="A19" s="101">
        <v>6</v>
      </c>
      <c r="B19" s="45"/>
      <c r="C19" s="97"/>
      <c r="D19" s="97"/>
      <c r="E19" s="98"/>
      <c r="F19" s="96"/>
      <c r="G19" s="96"/>
      <c r="H19" s="96"/>
      <c r="I19" s="96"/>
      <c r="J19" s="99"/>
      <c r="K19" s="100"/>
    </row>
    <row r="20" spans="1:11" ht="12.75">
      <c r="A20" s="101">
        <v>7</v>
      </c>
      <c r="B20" s="45" t="s">
        <v>143</v>
      </c>
      <c r="C20" s="40">
        <v>0</v>
      </c>
      <c r="D20" s="102">
        <f>SUM(E20:I20)</f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103">
        <v>0</v>
      </c>
      <c r="K20" s="100"/>
    </row>
    <row r="21" spans="1:11" ht="12.75">
      <c r="A21" s="101">
        <v>8</v>
      </c>
      <c r="B21" s="45"/>
      <c r="C21" s="97"/>
      <c r="D21" s="97"/>
      <c r="E21" s="98"/>
      <c r="F21" s="96"/>
      <c r="G21" s="96"/>
      <c r="H21" s="96"/>
      <c r="I21" s="96"/>
      <c r="J21" s="99"/>
      <c r="K21" s="100"/>
    </row>
    <row r="22" spans="1:11" ht="12.75">
      <c r="A22" s="101">
        <v>9</v>
      </c>
      <c r="B22" s="45"/>
      <c r="C22" s="97"/>
      <c r="D22" s="97"/>
      <c r="E22" s="98"/>
      <c r="F22" s="96"/>
      <c r="G22" s="96"/>
      <c r="H22" s="96"/>
      <c r="I22" s="96"/>
      <c r="J22" s="99"/>
      <c r="K22" s="100"/>
    </row>
    <row r="23" spans="1:11" ht="12.75">
      <c r="A23" s="101">
        <v>10</v>
      </c>
      <c r="B23" s="45" t="s">
        <v>144</v>
      </c>
      <c r="C23" s="40">
        <v>0</v>
      </c>
      <c r="D23" s="102">
        <f>SUM(E23:I23)</f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103">
        <v>0</v>
      </c>
      <c r="K23" s="100"/>
    </row>
    <row r="24" spans="1:11" ht="12.75">
      <c r="A24" s="101">
        <v>11</v>
      </c>
      <c r="B24" s="45" t="s">
        <v>145</v>
      </c>
      <c r="C24" s="97"/>
      <c r="D24" s="97"/>
      <c r="E24" s="98"/>
      <c r="F24" s="96"/>
      <c r="G24" s="96"/>
      <c r="H24" s="96"/>
      <c r="I24" s="96"/>
      <c r="J24" s="99"/>
      <c r="K24" s="100"/>
    </row>
    <row r="25" spans="1:11" ht="12.75">
      <c r="A25" s="101">
        <v>12</v>
      </c>
      <c r="B25" s="45"/>
      <c r="C25" s="97"/>
      <c r="D25" s="97"/>
      <c r="E25" s="98"/>
      <c r="F25" s="96"/>
      <c r="G25" s="96"/>
      <c r="H25" s="96"/>
      <c r="I25" s="96"/>
      <c r="J25" s="99"/>
      <c r="K25" s="100"/>
    </row>
    <row r="26" spans="1:11" ht="12.75">
      <c r="A26" s="101">
        <v>13</v>
      </c>
      <c r="B26" s="45" t="s">
        <v>146</v>
      </c>
      <c r="C26" s="40">
        <v>0</v>
      </c>
      <c r="D26" s="102">
        <f>SUM(E26:I26)</f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103">
        <v>0</v>
      </c>
      <c r="K26" s="100"/>
    </row>
    <row r="27" spans="1:11" ht="12.75">
      <c r="A27" s="101">
        <v>14</v>
      </c>
      <c r="B27" s="45"/>
      <c r="C27" s="97"/>
      <c r="D27" s="97"/>
      <c r="E27" s="98"/>
      <c r="F27" s="96"/>
      <c r="G27" s="96"/>
      <c r="H27" s="96"/>
      <c r="I27" s="96"/>
      <c r="J27" s="99"/>
      <c r="K27" s="100"/>
    </row>
    <row r="28" spans="1:11" ht="12.75">
      <c r="A28" s="101">
        <v>15</v>
      </c>
      <c r="B28" s="45"/>
      <c r="C28" s="97"/>
      <c r="D28" s="97"/>
      <c r="E28" s="98"/>
      <c r="F28" s="96"/>
      <c r="G28" s="96"/>
      <c r="H28" s="96"/>
      <c r="I28" s="96"/>
      <c r="J28" s="99"/>
      <c r="K28" s="100"/>
    </row>
    <row r="29" spans="1:11" ht="12.75">
      <c r="A29" s="101">
        <v>16</v>
      </c>
      <c r="B29" s="45" t="s">
        <v>147</v>
      </c>
      <c r="C29" s="40">
        <v>0</v>
      </c>
      <c r="D29" s="102">
        <f>SUM(E29:I29)</f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103">
        <v>0</v>
      </c>
      <c r="K29" s="100"/>
    </row>
    <row r="30" spans="1:11" ht="12.75">
      <c r="A30" s="101">
        <v>17</v>
      </c>
      <c r="B30" s="45"/>
      <c r="C30" s="97"/>
      <c r="D30" s="97"/>
      <c r="E30" s="98"/>
      <c r="F30" s="96"/>
      <c r="G30" s="96"/>
      <c r="H30" s="96"/>
      <c r="I30" s="96"/>
      <c r="J30" s="99"/>
      <c r="K30" s="100"/>
    </row>
    <row r="31" spans="1:11" ht="12.75">
      <c r="A31" s="101">
        <v>18</v>
      </c>
      <c r="B31" s="45"/>
      <c r="C31" s="97"/>
      <c r="D31" s="97"/>
      <c r="E31" s="98"/>
      <c r="F31" s="96"/>
      <c r="G31" s="96"/>
      <c r="H31" s="96"/>
      <c r="I31" s="96"/>
      <c r="J31" s="99"/>
      <c r="K31" s="100"/>
    </row>
    <row r="32" spans="1:11" ht="12.75">
      <c r="A32" s="101">
        <v>19</v>
      </c>
      <c r="B32" s="45" t="s">
        <v>148</v>
      </c>
      <c r="C32" s="40">
        <v>0</v>
      </c>
      <c r="D32" s="102">
        <f>SUM(E32:I32)</f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103">
        <v>0</v>
      </c>
      <c r="K32" s="100"/>
    </row>
    <row r="33" spans="1:11" ht="12.75">
      <c r="A33" s="101">
        <v>20</v>
      </c>
      <c r="B33" s="45"/>
      <c r="C33" s="97"/>
      <c r="D33" s="97"/>
      <c r="E33" s="98"/>
      <c r="F33" s="96"/>
      <c r="G33" s="96"/>
      <c r="H33" s="96"/>
      <c r="I33" s="96"/>
      <c r="J33" s="99"/>
      <c r="K33" s="100"/>
    </row>
    <row r="34" spans="1:11" ht="12.75">
      <c r="A34" s="101">
        <v>21</v>
      </c>
      <c r="B34" s="45"/>
      <c r="C34" s="97"/>
      <c r="D34" s="97"/>
      <c r="E34" s="98"/>
      <c r="F34" s="96"/>
      <c r="G34" s="96"/>
      <c r="H34" s="96"/>
      <c r="I34" s="96"/>
      <c r="J34" s="99"/>
      <c r="K34" s="100"/>
    </row>
    <row r="35" spans="1:11" ht="12.75">
      <c r="A35" s="101">
        <v>22</v>
      </c>
      <c r="B35" s="45" t="s">
        <v>149</v>
      </c>
      <c r="C35" s="40">
        <v>0</v>
      </c>
      <c r="D35" s="102">
        <f>SUM(E35:I35)</f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103">
        <v>0</v>
      </c>
      <c r="K35" s="100"/>
    </row>
    <row r="36" spans="1:11" ht="12.75">
      <c r="A36" s="101">
        <v>23</v>
      </c>
      <c r="B36" s="45"/>
      <c r="C36" s="97"/>
      <c r="D36" s="97"/>
      <c r="E36" s="98"/>
      <c r="F36" s="96"/>
      <c r="G36" s="96"/>
      <c r="H36" s="96"/>
      <c r="I36" s="96"/>
      <c r="J36" s="99"/>
      <c r="K36" s="100"/>
    </row>
    <row r="37" spans="1:11" ht="12.75">
      <c r="A37" s="101">
        <v>24</v>
      </c>
      <c r="B37" s="45"/>
      <c r="C37" s="97"/>
      <c r="D37" s="97"/>
      <c r="E37" s="98"/>
      <c r="F37" s="96"/>
      <c r="G37" s="96"/>
      <c r="H37" s="96"/>
      <c r="I37" s="96"/>
      <c r="J37" s="99"/>
      <c r="K37" s="100"/>
    </row>
    <row r="38" spans="1:11" ht="12.75">
      <c r="A38" s="101">
        <v>25</v>
      </c>
      <c r="B38" s="45" t="s">
        <v>150</v>
      </c>
      <c r="C38" s="40">
        <v>0</v>
      </c>
      <c r="D38" s="102">
        <f>SUM(E38:I38)</f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103">
        <v>0</v>
      </c>
      <c r="K38" s="100"/>
    </row>
    <row r="39" spans="1:11" ht="12.75">
      <c r="A39" s="101">
        <v>26</v>
      </c>
      <c r="B39" s="45"/>
      <c r="C39" s="97"/>
      <c r="D39" s="97"/>
      <c r="E39" s="98"/>
      <c r="F39" s="96"/>
      <c r="G39" s="96"/>
      <c r="H39" s="96"/>
      <c r="I39" s="96"/>
      <c r="J39" s="99"/>
      <c r="K39" s="100"/>
    </row>
    <row r="40" spans="1:11" ht="12.75">
      <c r="A40" s="101">
        <v>27</v>
      </c>
      <c r="B40" s="45"/>
      <c r="C40" s="97"/>
      <c r="D40" s="97"/>
      <c r="E40" s="98"/>
      <c r="F40" s="96"/>
      <c r="G40" s="96"/>
      <c r="H40" s="96"/>
      <c r="I40" s="96"/>
      <c r="J40" s="99"/>
      <c r="K40" s="100"/>
    </row>
    <row r="41" spans="1:11" ht="12.75">
      <c r="A41" s="101">
        <v>28</v>
      </c>
      <c r="B41" s="45" t="s">
        <v>151</v>
      </c>
      <c r="C41" s="40">
        <v>0</v>
      </c>
      <c r="D41" s="102">
        <f>SUM(E41:I41)</f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103">
        <v>0</v>
      </c>
      <c r="K41" s="100"/>
    </row>
    <row r="42" spans="1:11" ht="12.75">
      <c r="A42" s="101">
        <v>29</v>
      </c>
      <c r="B42" s="45"/>
      <c r="C42" s="97"/>
      <c r="D42" s="97"/>
      <c r="E42" s="98"/>
      <c r="F42" s="96"/>
      <c r="G42" s="96"/>
      <c r="H42" s="96"/>
      <c r="I42" s="96"/>
      <c r="J42" s="99"/>
      <c r="K42" s="100"/>
    </row>
    <row r="43" spans="1:11" ht="12.75">
      <c r="A43" s="101">
        <v>30</v>
      </c>
      <c r="B43" s="45"/>
      <c r="C43" s="97"/>
      <c r="D43" s="97"/>
      <c r="E43" s="98"/>
      <c r="F43" s="96"/>
      <c r="G43" s="96"/>
      <c r="H43" s="96"/>
      <c r="I43" s="96"/>
      <c r="J43" s="99"/>
      <c r="K43" s="100"/>
    </row>
    <row r="44" spans="1:11" ht="12.75">
      <c r="A44" s="101">
        <v>31</v>
      </c>
      <c r="B44" s="45" t="s">
        <v>152</v>
      </c>
      <c r="C44" s="40">
        <v>0</v>
      </c>
      <c r="D44" s="102">
        <f>SUM(E44:I44)</f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103">
        <v>0</v>
      </c>
      <c r="K44" s="100"/>
    </row>
    <row r="45" spans="1:11" ht="12.75">
      <c r="A45" s="101">
        <v>32</v>
      </c>
      <c r="B45" s="45"/>
      <c r="C45" s="97"/>
      <c r="D45" s="97"/>
      <c r="E45" s="98"/>
      <c r="F45" s="96"/>
      <c r="G45" s="96"/>
      <c r="H45" s="96"/>
      <c r="I45" s="96"/>
      <c r="J45" s="99"/>
      <c r="K45" s="100"/>
    </row>
    <row r="46" spans="1:11" ht="12.75">
      <c r="A46" s="101">
        <v>33</v>
      </c>
      <c r="B46" s="45"/>
      <c r="C46" s="97"/>
      <c r="D46" s="97"/>
      <c r="E46" s="98"/>
      <c r="F46" s="96"/>
      <c r="G46" s="96"/>
      <c r="H46" s="96"/>
      <c r="I46" s="96"/>
      <c r="J46" s="99"/>
      <c r="K46" s="100"/>
    </row>
    <row r="47" spans="1:11" ht="12.75">
      <c r="A47" s="101">
        <v>34</v>
      </c>
      <c r="B47" s="45" t="s">
        <v>153</v>
      </c>
      <c r="C47" s="40">
        <v>0</v>
      </c>
      <c r="D47" s="102">
        <f>SUM(E47:I47)</f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103">
        <v>0</v>
      </c>
      <c r="K47" s="100"/>
    </row>
    <row r="48" spans="1:11" ht="12.75">
      <c r="A48" s="101">
        <v>35</v>
      </c>
      <c r="B48" s="45"/>
      <c r="C48" s="97"/>
      <c r="D48" s="97"/>
      <c r="E48" s="98"/>
      <c r="F48" s="96"/>
      <c r="G48" s="96"/>
      <c r="H48" s="96"/>
      <c r="I48" s="96"/>
      <c r="J48" s="99"/>
      <c r="K48" s="100"/>
    </row>
    <row r="49" spans="1:11" ht="12.75">
      <c r="A49" s="101">
        <v>36</v>
      </c>
      <c r="B49" s="45"/>
      <c r="C49" s="97"/>
      <c r="D49" s="97"/>
      <c r="E49" s="98"/>
      <c r="F49" s="96"/>
      <c r="G49" s="96"/>
      <c r="H49" s="96"/>
      <c r="I49" s="96"/>
      <c r="J49" s="99"/>
      <c r="K49" s="100"/>
    </row>
    <row r="50" spans="1:11" ht="12.75">
      <c r="A50" s="101">
        <v>37</v>
      </c>
      <c r="B50" s="45" t="s">
        <v>154</v>
      </c>
      <c r="C50" s="40">
        <v>0</v>
      </c>
      <c r="D50" s="102">
        <f>SUM(E50:I50)</f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103">
        <v>0</v>
      </c>
      <c r="K50" s="100"/>
    </row>
    <row r="51" spans="1:11" ht="12.75">
      <c r="A51" s="101">
        <v>38</v>
      </c>
      <c r="B51" s="45"/>
      <c r="C51" s="97"/>
      <c r="D51" s="97"/>
      <c r="E51" s="98"/>
      <c r="F51" s="96"/>
      <c r="G51" s="96"/>
      <c r="H51" s="96"/>
      <c r="I51" s="96"/>
      <c r="J51" s="99"/>
      <c r="K51" s="100"/>
    </row>
    <row r="52" spans="1:11" ht="12.75">
      <c r="A52" s="101">
        <v>39</v>
      </c>
      <c r="B52" s="45"/>
      <c r="C52" s="97"/>
      <c r="D52" s="97"/>
      <c r="E52" s="98"/>
      <c r="F52" s="96"/>
      <c r="G52" s="96"/>
      <c r="H52" s="96"/>
      <c r="I52" s="96"/>
      <c r="J52" s="99"/>
      <c r="K52" s="100"/>
    </row>
    <row r="53" spans="1:11" ht="12.75">
      <c r="A53" s="101">
        <v>40</v>
      </c>
      <c r="B53" s="45" t="s">
        <v>155</v>
      </c>
      <c r="C53" s="40">
        <v>0</v>
      </c>
      <c r="D53" s="102">
        <f>SUM(E53:I53)</f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103">
        <v>0</v>
      </c>
      <c r="K53" s="100"/>
    </row>
    <row r="54" spans="1:11" ht="12.75">
      <c r="A54" s="101">
        <v>41</v>
      </c>
      <c r="B54" s="45"/>
      <c r="C54" s="97"/>
      <c r="D54" s="97"/>
      <c r="E54" s="98"/>
      <c r="F54" s="96"/>
      <c r="G54" s="96"/>
      <c r="H54" s="96"/>
      <c r="I54" s="96"/>
      <c r="J54" s="99"/>
      <c r="K54" s="100"/>
    </row>
    <row r="55" spans="1:11" ht="12.75">
      <c r="A55" s="101">
        <v>42</v>
      </c>
      <c r="B55" s="45"/>
      <c r="C55" s="97"/>
      <c r="D55" s="97"/>
      <c r="E55" s="98"/>
      <c r="F55" s="96"/>
      <c r="G55" s="96"/>
      <c r="H55" s="96"/>
      <c r="I55" s="96"/>
      <c r="J55" s="99"/>
      <c r="K55" s="100"/>
    </row>
    <row r="56" spans="1:11" ht="12.75">
      <c r="A56" s="101">
        <v>43</v>
      </c>
      <c r="B56" s="45" t="s">
        <v>156</v>
      </c>
      <c r="C56" s="40">
        <v>0</v>
      </c>
      <c r="D56" s="102">
        <f>SUM(E56:I56)</f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103">
        <v>0</v>
      </c>
      <c r="K56" s="100"/>
    </row>
    <row r="57" spans="1:11" ht="12.75">
      <c r="A57" s="101">
        <v>44</v>
      </c>
      <c r="B57" s="105"/>
      <c r="C57" s="97"/>
      <c r="D57" s="97"/>
      <c r="E57" s="98"/>
      <c r="F57" s="96"/>
      <c r="G57" s="96"/>
      <c r="H57" s="96"/>
      <c r="I57" s="96"/>
      <c r="J57" s="99"/>
      <c r="K57" s="100"/>
    </row>
    <row r="58" spans="1:11" ht="12.75">
      <c r="A58" s="101">
        <v>45</v>
      </c>
      <c r="B58" s="45"/>
      <c r="C58" s="97"/>
      <c r="D58" s="97"/>
      <c r="E58" s="98"/>
      <c r="F58" s="96"/>
      <c r="G58" s="96"/>
      <c r="H58" s="96"/>
      <c r="I58" s="96"/>
      <c r="J58" s="99"/>
      <c r="K58" s="100"/>
    </row>
    <row r="59" spans="1:11" ht="12.75">
      <c r="A59" s="101">
        <v>46</v>
      </c>
      <c r="B59" s="45" t="s">
        <v>157</v>
      </c>
      <c r="C59" s="40">
        <v>0</v>
      </c>
      <c r="D59" s="102">
        <f>SUM(E59:I59)</f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103">
        <v>0</v>
      </c>
      <c r="K59" s="100"/>
    </row>
    <row r="60" spans="1:11" ht="12.75">
      <c r="A60" s="101">
        <v>47</v>
      </c>
      <c r="B60" s="45"/>
      <c r="C60" s="97"/>
      <c r="D60" s="97"/>
      <c r="E60" s="98"/>
      <c r="F60" s="96"/>
      <c r="G60" s="96"/>
      <c r="H60" s="96"/>
      <c r="I60" s="96"/>
      <c r="J60" s="99"/>
      <c r="K60" s="100"/>
    </row>
    <row r="61" spans="1:11" ht="12.75">
      <c r="A61" s="101">
        <v>48</v>
      </c>
      <c r="B61" s="45"/>
      <c r="C61" s="97"/>
      <c r="D61" s="97"/>
      <c r="E61" s="98"/>
      <c r="F61" s="96"/>
      <c r="G61" s="96"/>
      <c r="H61" s="96"/>
      <c r="I61" s="96"/>
      <c r="J61" s="99"/>
      <c r="K61" s="100"/>
    </row>
    <row r="62" spans="1:11" ht="12.75">
      <c r="A62" s="101">
        <v>49</v>
      </c>
      <c r="B62" s="45" t="s">
        <v>158</v>
      </c>
      <c r="C62" s="40">
        <v>0</v>
      </c>
      <c r="D62" s="102">
        <f>SUM(E62:I62)</f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103">
        <v>0</v>
      </c>
      <c r="K62" s="100"/>
    </row>
    <row r="63" spans="1:11" ht="12.75">
      <c r="A63" s="101">
        <v>50</v>
      </c>
      <c r="B63" s="45"/>
      <c r="C63" s="97"/>
      <c r="D63" s="97"/>
      <c r="E63" s="98"/>
      <c r="F63" s="96"/>
      <c r="G63" s="96"/>
      <c r="H63" s="96"/>
      <c r="I63" s="96"/>
      <c r="J63" s="99"/>
      <c r="K63" s="100"/>
    </row>
    <row r="64" spans="1:11" ht="12.75">
      <c r="A64" s="101">
        <v>51</v>
      </c>
      <c r="B64" s="45"/>
      <c r="C64" s="97"/>
      <c r="D64" s="97"/>
      <c r="E64" s="98"/>
      <c r="F64" s="96"/>
      <c r="G64" s="96"/>
      <c r="H64" s="96"/>
      <c r="I64" s="96"/>
      <c r="J64" s="99"/>
      <c r="K64" s="100"/>
    </row>
    <row r="65" spans="1:11" ht="12.75">
      <c r="A65" s="101">
        <v>52</v>
      </c>
      <c r="B65" s="45" t="s">
        <v>159</v>
      </c>
      <c r="C65" s="40">
        <v>0</v>
      </c>
      <c r="D65" s="102">
        <f>SUM(E65:I65)</f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103">
        <v>0</v>
      </c>
      <c r="K65" s="100"/>
    </row>
    <row r="66" spans="1:11" ht="12.75">
      <c r="A66" s="101">
        <v>53</v>
      </c>
      <c r="B66" s="45"/>
      <c r="C66" s="97"/>
      <c r="D66" s="97"/>
      <c r="E66" s="98"/>
      <c r="F66" s="96"/>
      <c r="G66" s="96"/>
      <c r="H66" s="96"/>
      <c r="I66" s="96"/>
      <c r="J66" s="99"/>
      <c r="K66" s="100"/>
    </row>
    <row r="67" spans="1:11" ht="12.75">
      <c r="A67" s="101">
        <v>54</v>
      </c>
      <c r="B67" s="45"/>
      <c r="C67" s="97"/>
      <c r="D67" s="97"/>
      <c r="E67" s="98"/>
      <c r="F67" s="96"/>
      <c r="G67" s="96"/>
      <c r="H67" s="96"/>
      <c r="I67" s="96"/>
      <c r="J67" s="99"/>
      <c r="K67" s="100"/>
    </row>
    <row r="68" spans="1:11" ht="12.75">
      <c r="A68" s="101">
        <v>55</v>
      </c>
      <c r="B68" s="45" t="s">
        <v>160</v>
      </c>
      <c r="C68" s="40">
        <v>0</v>
      </c>
      <c r="D68" s="102">
        <f>SUM(E68:I68)</f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103">
        <v>0</v>
      </c>
      <c r="K68" s="100"/>
    </row>
    <row r="69" spans="1:11" ht="12.75">
      <c r="A69" s="101">
        <v>56</v>
      </c>
      <c r="B69" s="45"/>
      <c r="C69" s="97"/>
      <c r="D69" s="97"/>
      <c r="E69" s="98"/>
      <c r="F69" s="96"/>
      <c r="G69" s="96"/>
      <c r="H69" s="96"/>
      <c r="I69" s="96"/>
      <c r="J69" s="99"/>
      <c r="K69" s="100"/>
    </row>
    <row r="70" spans="1:11" ht="12.75">
      <c r="A70" s="101">
        <v>57</v>
      </c>
      <c r="B70" s="45"/>
      <c r="C70" s="97"/>
      <c r="D70" s="97"/>
      <c r="E70" s="98"/>
      <c r="F70" s="96"/>
      <c r="G70" s="96"/>
      <c r="H70" s="96"/>
      <c r="I70" s="96"/>
      <c r="J70" s="99"/>
      <c r="K70" s="100"/>
    </row>
    <row r="71" spans="1:11" ht="12.75">
      <c r="A71" s="101">
        <v>58</v>
      </c>
      <c r="B71" s="45" t="s">
        <v>161</v>
      </c>
      <c r="C71" s="40">
        <v>0</v>
      </c>
      <c r="D71" s="102">
        <f>SUM(E71:I71)</f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103">
        <v>0</v>
      </c>
      <c r="K71" s="100"/>
    </row>
    <row r="72" spans="1:11" ht="12.75">
      <c r="A72" s="101">
        <v>59</v>
      </c>
      <c r="B72" s="45"/>
      <c r="C72" s="97"/>
      <c r="D72" s="97"/>
      <c r="E72" s="98"/>
      <c r="F72" s="96"/>
      <c r="G72" s="96"/>
      <c r="H72" s="96"/>
      <c r="I72" s="96"/>
      <c r="J72" s="99"/>
      <c r="K72" s="100"/>
    </row>
    <row r="73" spans="1:11" ht="12.75">
      <c r="A73" s="101">
        <v>60</v>
      </c>
      <c r="B73" s="45"/>
      <c r="C73" s="97"/>
      <c r="D73" s="97"/>
      <c r="E73" s="98"/>
      <c r="F73" s="96"/>
      <c r="G73" s="96"/>
      <c r="H73" s="96"/>
      <c r="I73" s="96"/>
      <c r="J73" s="99"/>
      <c r="K73" s="100"/>
    </row>
    <row r="74" spans="1:11" ht="12.75">
      <c r="A74" s="101">
        <v>61</v>
      </c>
      <c r="B74" s="45" t="s">
        <v>162</v>
      </c>
      <c r="C74" s="40">
        <v>0</v>
      </c>
      <c r="D74" s="102">
        <f>SUM(E74:I74)</f>
        <v>0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103">
        <v>0</v>
      </c>
      <c r="K74" s="100"/>
    </row>
    <row r="75" spans="1:11" ht="12.75">
      <c r="A75" s="101">
        <v>62</v>
      </c>
      <c r="B75" s="45"/>
      <c r="C75" s="97"/>
      <c r="D75" s="97"/>
      <c r="E75" s="98"/>
      <c r="F75" s="96"/>
      <c r="G75" s="96"/>
      <c r="H75" s="96"/>
      <c r="I75" s="96"/>
      <c r="J75" s="99"/>
      <c r="K75" s="100"/>
    </row>
    <row r="76" spans="1:11" ht="12.75">
      <c r="A76" s="101">
        <v>63</v>
      </c>
      <c r="B76" s="45"/>
      <c r="C76" s="97"/>
      <c r="D76" s="97"/>
      <c r="E76" s="98"/>
      <c r="F76" s="96"/>
      <c r="G76" s="96"/>
      <c r="H76" s="96"/>
      <c r="I76" s="96"/>
      <c r="J76" s="99"/>
      <c r="K76" s="100"/>
    </row>
    <row r="77" spans="1:11" ht="12.75">
      <c r="A77" s="101">
        <v>64</v>
      </c>
      <c r="B77" s="45" t="s">
        <v>163</v>
      </c>
      <c r="C77" s="40">
        <v>0</v>
      </c>
      <c r="D77" s="102">
        <f>SUM(E77:I77)</f>
        <v>0</v>
      </c>
      <c r="E77" s="40">
        <v>0</v>
      </c>
      <c r="F77" s="40">
        <v>0</v>
      </c>
      <c r="G77" s="40">
        <v>0</v>
      </c>
      <c r="H77" s="40">
        <v>0</v>
      </c>
      <c r="I77" s="40">
        <v>0</v>
      </c>
      <c r="J77" s="103">
        <v>0</v>
      </c>
      <c r="K77" s="100"/>
    </row>
    <row r="78" spans="1:11" ht="12.75">
      <c r="A78" s="101">
        <v>65</v>
      </c>
      <c r="B78" s="45"/>
      <c r="C78" s="97"/>
      <c r="D78" s="97"/>
      <c r="E78" s="98"/>
      <c r="F78" s="96"/>
      <c r="G78" s="96"/>
      <c r="H78" s="96"/>
      <c r="I78" s="96"/>
      <c r="J78" s="99"/>
      <c r="K78" s="100"/>
    </row>
    <row r="79" spans="1:11" ht="12.75">
      <c r="A79" s="101">
        <v>66</v>
      </c>
      <c r="B79" s="45"/>
      <c r="C79" s="106">
        <f>C14+C17+C20+C23+C26+C29+C32+C35+C38+C41+C44+C47+C50+C53+C56+C59+C62+C65+C68+C71+C74+C77</f>
        <v>0</v>
      </c>
      <c r="D79" s="105"/>
      <c r="E79" s="105"/>
      <c r="F79" s="105"/>
      <c r="G79" s="105"/>
      <c r="H79" s="105"/>
      <c r="I79" s="105"/>
      <c r="J79" s="105"/>
      <c r="K79" s="100"/>
    </row>
    <row r="80" spans="1:11" ht="12.75">
      <c r="A80" s="101">
        <v>67</v>
      </c>
      <c r="B80" s="45" t="s">
        <v>164</v>
      </c>
      <c r="C80" s="107">
        <f>C14+C17+C20+C23+C26+C29+C32+C35+C38+C41+C44+C47+C50+C53+C56+C59+C62+C65+C68+C71+C74+C77</f>
        <v>0</v>
      </c>
      <c r="D80" s="107">
        <f>SUM(E80:I80)</f>
        <v>1</v>
      </c>
      <c r="E80" s="107">
        <f t="shared" ref="E80:J80" si="0">E14+E17+E20+E23+E26+E29+E32+E35+E38+E41+E44+E47+E50+E53+E56+E59+E62+E65+E68+E71+E74+E77</f>
        <v>1</v>
      </c>
      <c r="F80" s="107">
        <f t="shared" si="0"/>
        <v>0</v>
      </c>
      <c r="G80" s="107">
        <f t="shared" si="0"/>
        <v>0</v>
      </c>
      <c r="H80" s="107">
        <f t="shared" si="0"/>
        <v>0</v>
      </c>
      <c r="I80" s="107">
        <f t="shared" si="0"/>
        <v>0</v>
      </c>
      <c r="J80" s="107">
        <f t="shared" si="0"/>
        <v>0</v>
      </c>
      <c r="K80" s="100" t="s">
        <v>165</v>
      </c>
    </row>
    <row r="81" spans="1:11" ht="12.75">
      <c r="A81" s="101">
        <v>68</v>
      </c>
      <c r="B81" s="45" t="s">
        <v>166</v>
      </c>
      <c r="C81" s="108">
        <v>0</v>
      </c>
      <c r="D81" s="106">
        <v>0</v>
      </c>
      <c r="E81" s="109">
        <v>0.01</v>
      </c>
      <c r="F81" s="109">
        <v>0.05</v>
      </c>
      <c r="G81" s="109">
        <v>0.25</v>
      </c>
      <c r="H81" s="109">
        <v>0.5</v>
      </c>
      <c r="I81" s="109">
        <v>1</v>
      </c>
      <c r="J81" s="110">
        <v>0</v>
      </c>
      <c r="K81" s="100"/>
    </row>
    <row r="82" spans="1:11" ht="12.75">
      <c r="A82" s="101">
        <v>69</v>
      </c>
      <c r="B82" s="45" t="s">
        <v>167</v>
      </c>
      <c r="C82" s="108">
        <v>0</v>
      </c>
      <c r="D82" s="107">
        <f>SUM(E82:I82)</f>
        <v>0.01</v>
      </c>
      <c r="E82" s="111">
        <f t="shared" ref="E82:J82" si="1">E80*E81</f>
        <v>0.01</v>
      </c>
      <c r="F82" s="111">
        <f t="shared" si="1"/>
        <v>0</v>
      </c>
      <c r="G82" s="111">
        <f t="shared" si="1"/>
        <v>0</v>
      </c>
      <c r="H82" s="111">
        <f t="shared" si="1"/>
        <v>0</v>
      </c>
      <c r="I82" s="111">
        <f t="shared" si="1"/>
        <v>0</v>
      </c>
      <c r="J82" s="105">
        <f t="shared" si="1"/>
        <v>0</v>
      </c>
      <c r="K82" s="100"/>
    </row>
    <row r="83" spans="1:11" ht="25.5">
      <c r="A83" s="101">
        <v>70</v>
      </c>
      <c r="B83" s="45" t="s">
        <v>168</v>
      </c>
      <c r="C83" s="108">
        <v>0</v>
      </c>
      <c r="D83" s="107">
        <f>SUM(E83:I83)</f>
        <v>0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103">
        <v>0</v>
      </c>
      <c r="K83" s="100"/>
    </row>
    <row r="84" spans="1:11" ht="12.75">
      <c r="A84" s="101">
        <v>71</v>
      </c>
      <c r="B84" s="45" t="s">
        <v>169</v>
      </c>
      <c r="C84" s="108">
        <v>0</v>
      </c>
      <c r="D84" s="107">
        <f>D82-D83</f>
        <v>0.01</v>
      </c>
      <c r="E84" s="107">
        <f t="shared" ref="E84:J84" si="2">E82-E83</f>
        <v>0.01</v>
      </c>
      <c r="F84" s="107">
        <f t="shared" si="2"/>
        <v>0</v>
      </c>
      <c r="G84" s="107">
        <f t="shared" si="2"/>
        <v>0</v>
      </c>
      <c r="H84" s="107">
        <f t="shared" si="2"/>
        <v>0</v>
      </c>
      <c r="I84" s="107">
        <f t="shared" si="2"/>
        <v>0</v>
      </c>
      <c r="J84" s="112">
        <f t="shared" si="2"/>
        <v>0</v>
      </c>
      <c r="K84" s="100"/>
    </row>
    <row r="85" spans="1:11" ht="12.75">
      <c r="A85" s="101">
        <v>72</v>
      </c>
      <c r="B85" s="45" t="s">
        <v>170</v>
      </c>
      <c r="C85" s="108">
        <v>0</v>
      </c>
      <c r="D85" s="107">
        <f>D80-D84</f>
        <v>0.99</v>
      </c>
      <c r="E85" s="107">
        <f t="shared" ref="E85:J85" si="3">E80-E84</f>
        <v>0.99</v>
      </c>
      <c r="F85" s="107">
        <f t="shared" si="3"/>
        <v>0</v>
      </c>
      <c r="G85" s="107">
        <f t="shared" si="3"/>
        <v>0</v>
      </c>
      <c r="H85" s="107">
        <f t="shared" si="3"/>
        <v>0</v>
      </c>
      <c r="I85" s="107">
        <f t="shared" si="3"/>
        <v>0</v>
      </c>
      <c r="J85" s="107">
        <f t="shared" si="3"/>
        <v>0</v>
      </c>
      <c r="K85" s="100"/>
    </row>
    <row r="86" spans="1:11" ht="25.5">
      <c r="A86" s="101">
        <v>73</v>
      </c>
      <c r="B86" s="45" t="s">
        <v>171</v>
      </c>
      <c r="C86" s="108">
        <v>0</v>
      </c>
      <c r="D86" s="113">
        <f>(G80+H80+I80)/D80*100</f>
        <v>0</v>
      </c>
      <c r="E86" s="114">
        <v>0</v>
      </c>
      <c r="F86" s="114">
        <v>0</v>
      </c>
      <c r="G86" s="114">
        <v>0</v>
      </c>
      <c r="H86" s="114">
        <v>0</v>
      </c>
      <c r="I86" s="114">
        <v>0</v>
      </c>
      <c r="J86" s="114">
        <v>0</v>
      </c>
      <c r="K86" s="115"/>
    </row>
    <row r="88" spans="1:11">
      <c r="A88" s="336">
        <v>1</v>
      </c>
      <c r="B88" s="336" t="s">
        <v>618</v>
      </c>
      <c r="C88" s="337" t="s">
        <v>166</v>
      </c>
    </row>
    <row r="89" spans="1:11" ht="12.75">
      <c r="A89" s="117"/>
      <c r="B89" s="338" t="s">
        <v>619</v>
      </c>
      <c r="C89" s="339">
        <v>0.01</v>
      </c>
    </row>
    <row r="90" spans="1:11" ht="12.75">
      <c r="A90" s="117"/>
      <c r="B90" s="338" t="s">
        <v>620</v>
      </c>
      <c r="C90" s="339">
        <v>0.05</v>
      </c>
    </row>
    <row r="91" spans="1:11" ht="12.75">
      <c r="A91" s="117"/>
      <c r="B91" s="338" t="s">
        <v>621</v>
      </c>
      <c r="C91" s="339">
        <v>0.25</v>
      </c>
    </row>
    <row r="92" spans="1:11" ht="12.75">
      <c r="A92" s="117"/>
      <c r="B92" s="338" t="s">
        <v>622</v>
      </c>
      <c r="C92" s="339">
        <v>0.5</v>
      </c>
    </row>
    <row r="93" spans="1:11" ht="12.75">
      <c r="A93" s="117"/>
      <c r="B93" s="338" t="s">
        <v>623</v>
      </c>
      <c r="C93" s="339">
        <v>1</v>
      </c>
    </row>
    <row r="94" spans="1:11" ht="12.75">
      <c r="A94" s="117"/>
      <c r="B94" s="117"/>
      <c r="C94" s="270"/>
    </row>
    <row r="95" spans="1:11">
      <c r="A95" s="340">
        <v>2</v>
      </c>
      <c r="B95" s="340" t="s">
        <v>624</v>
      </c>
      <c r="C95" s="270"/>
    </row>
    <row r="96" spans="1:11">
      <c r="A96" s="153"/>
      <c r="B96" s="338" t="s">
        <v>625</v>
      </c>
      <c r="C96" s="339">
        <v>0.25</v>
      </c>
    </row>
    <row r="97" spans="1:3">
      <c r="A97" s="153"/>
      <c r="B97" s="338" t="s">
        <v>626</v>
      </c>
      <c r="C97" s="339">
        <v>0.5</v>
      </c>
    </row>
    <row r="98" spans="1:3">
      <c r="A98" s="153"/>
      <c r="B98" s="338" t="s">
        <v>627</v>
      </c>
      <c r="C98" s="339">
        <v>1</v>
      </c>
    </row>
    <row r="99" spans="1:3">
      <c r="A99" s="153"/>
      <c r="B99" s="153"/>
    </row>
    <row r="101" spans="1:3">
      <c r="B101" s="261" t="s">
        <v>628</v>
      </c>
    </row>
    <row r="102" spans="1:3">
      <c r="B102" s="341"/>
    </row>
    <row r="104" spans="1:3">
      <c r="A104" s="273" t="s">
        <v>629</v>
      </c>
      <c r="B104" s="261" t="s">
        <v>630</v>
      </c>
    </row>
  </sheetData>
  <mergeCells count="12">
    <mergeCell ref="J11:J12"/>
    <mergeCell ref="K11:K12"/>
    <mergeCell ref="A11:A12"/>
    <mergeCell ref="B11:B12"/>
    <mergeCell ref="C11:C12"/>
    <mergeCell ref="D11:D12"/>
    <mergeCell ref="E11:E12"/>
    <mergeCell ref="F11:I11"/>
    <mergeCell ref="C1:C3"/>
    <mergeCell ref="D2:F2"/>
    <mergeCell ref="E3:G6"/>
    <mergeCell ref="C9:G9"/>
  </mergeCells>
  <dataValidations count="2">
    <dataValidation type="decimal" allowBlank="1" showInputMessage="1" showErrorMessage="1" sqref="E14:J14 E17:J17 E20:J20 E23:J23 F23:F24 E26:J26 E29:J29 E32:J32 E35:J35 E38:J38 E41:J41 E44:J44 E47:J47 E50:J50 E53:J53 E56:J56 E59:J59 E81:J83 E62:J62 E65:J65 E67:E68 F68:J68 I72 E71:J71 E74:J74 E77:J77" xr:uid="{8CBE254A-573E-42CA-8955-2F6E5B0CF8A5}">
      <formula1>-9999999999999</formula1>
      <formula2>9999999999999</formula2>
    </dataValidation>
    <dataValidation type="decimal" allowBlank="1" showInputMessage="1" showErrorMessage="1" sqref="C14 C17 C20 C23 C26 C29 C32 C35 C38 C41 C44 C47 C50 C53 C56 C59 C62 C65 C68 C71 C74 C77" xr:uid="{E60FFF88-3E4A-42D7-A1C4-4583565C2800}">
      <formula1>0</formula1>
      <formula2>9999999999999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9791-1B3A-4149-8F06-B0405C424339}">
  <dimension ref="A1:T133"/>
  <sheetViews>
    <sheetView workbookViewId="0">
      <selection activeCell="B30" sqref="B30"/>
    </sheetView>
  </sheetViews>
  <sheetFormatPr defaultRowHeight="12.75"/>
  <cols>
    <col min="1" max="1" width="5.85546875" style="117" customWidth="1"/>
    <col min="2" max="2" width="51.5703125" style="117" bestFit="1" customWidth="1"/>
    <col min="3" max="3" width="15.42578125" style="117" customWidth="1"/>
    <col min="4" max="4" width="20.42578125" style="117" customWidth="1"/>
    <col min="5" max="5" width="33.42578125" style="117" bestFit="1" customWidth="1"/>
    <col min="6" max="6" width="12.42578125" style="117" customWidth="1"/>
    <col min="7" max="7" width="20.5703125" style="117" customWidth="1"/>
    <col min="8" max="8" width="24.5703125" style="117" customWidth="1"/>
    <col min="9" max="9" width="9.140625" style="117"/>
    <col min="10" max="10" width="27" style="117" customWidth="1"/>
    <col min="11" max="11" width="47.140625" style="117" bestFit="1" customWidth="1"/>
    <col min="12" max="16384" width="9.140625" style="117"/>
  </cols>
  <sheetData>
    <row r="1" spans="1:20">
      <c r="A1" s="54"/>
      <c r="B1" s="54"/>
      <c r="C1" s="116"/>
      <c r="D1" s="54"/>
      <c r="E1" s="54"/>
      <c r="F1" s="54"/>
      <c r="G1" s="54"/>
      <c r="H1" s="54"/>
      <c r="I1" s="54"/>
      <c r="J1" s="54"/>
      <c r="K1" s="54"/>
    </row>
    <row r="2" spans="1:20">
      <c r="A2" s="118" t="s">
        <v>172</v>
      </c>
      <c r="B2" s="54"/>
      <c r="C2" s="116"/>
      <c r="D2" s="119" t="str">
        <f>[1]MSP2_01!C2</f>
        <v>TESTING MSP</v>
      </c>
      <c r="E2" s="119"/>
      <c r="F2" s="119"/>
      <c r="G2" s="120"/>
      <c r="H2" s="120"/>
      <c r="I2" s="121"/>
      <c r="J2" s="121"/>
      <c r="K2" s="121"/>
      <c r="L2" s="122"/>
      <c r="M2" s="122"/>
      <c r="N2" s="122"/>
      <c r="O2" s="122"/>
      <c r="P2" s="122"/>
      <c r="Q2" s="122"/>
      <c r="R2" s="122"/>
    </row>
    <row r="3" spans="1:20">
      <c r="A3" s="9"/>
      <c r="B3" s="54"/>
      <c r="C3" s="116"/>
      <c r="D3" s="123"/>
      <c r="E3" s="124"/>
      <c r="F3" s="124"/>
      <c r="G3" s="120"/>
      <c r="H3" s="120"/>
      <c r="I3" s="121"/>
      <c r="J3" s="121"/>
      <c r="K3" s="121"/>
      <c r="L3" s="122"/>
      <c r="M3" s="122"/>
      <c r="N3" s="122"/>
      <c r="O3" s="122"/>
      <c r="P3" s="122"/>
      <c r="Q3" s="122"/>
      <c r="R3" s="122"/>
    </row>
    <row r="4" spans="1:20">
      <c r="A4" s="9" t="s">
        <v>2</v>
      </c>
      <c r="B4" s="54"/>
      <c r="C4" s="116"/>
      <c r="D4" s="125" t="str">
        <f>[1]MSP2_01!C4</f>
        <v>M001</v>
      </c>
      <c r="E4" s="124"/>
      <c r="F4" s="124"/>
      <c r="G4" s="120"/>
      <c r="H4" s="120"/>
      <c r="I4" s="121"/>
      <c r="J4" s="121"/>
      <c r="K4" s="121"/>
      <c r="L4" s="122"/>
      <c r="M4" s="122"/>
      <c r="N4" s="122"/>
      <c r="O4" s="122"/>
      <c r="P4" s="122"/>
      <c r="Q4" s="122"/>
      <c r="R4" s="122"/>
    </row>
    <row r="5" spans="1:20">
      <c r="A5" s="126"/>
      <c r="B5" s="54"/>
      <c r="C5" s="121"/>
      <c r="D5" s="123"/>
      <c r="E5" s="124"/>
      <c r="F5" s="124"/>
      <c r="G5" s="120"/>
      <c r="H5" s="120"/>
      <c r="I5" s="121"/>
      <c r="J5" s="121"/>
      <c r="K5" s="121"/>
      <c r="L5" s="122"/>
      <c r="M5" s="122"/>
      <c r="N5" s="122"/>
      <c r="O5" s="122"/>
      <c r="P5" s="122"/>
      <c r="Q5" s="122"/>
      <c r="R5" s="122"/>
    </row>
    <row r="6" spans="1:20">
      <c r="A6" s="126" t="s">
        <v>173</v>
      </c>
      <c r="B6" s="54"/>
      <c r="C6" s="120"/>
      <c r="D6" s="127">
        <f>[1]MSP2_01!C6</f>
        <v>44561</v>
      </c>
      <c r="E6" s="124"/>
      <c r="F6" s="124"/>
      <c r="G6" s="120"/>
      <c r="H6" s="120"/>
      <c r="I6" s="121"/>
      <c r="J6" s="121"/>
      <c r="K6" s="121"/>
      <c r="L6" s="122"/>
      <c r="M6" s="122"/>
      <c r="N6" s="122"/>
      <c r="O6" s="122"/>
      <c r="P6" s="122"/>
      <c r="Q6" s="122"/>
      <c r="R6" s="122"/>
    </row>
    <row r="7" spans="1:20" ht="21.6" customHeight="1">
      <c r="A7" s="126"/>
      <c r="B7" s="54"/>
      <c r="C7" s="120"/>
      <c r="D7" s="120"/>
      <c r="E7" s="128"/>
      <c r="F7" s="120"/>
      <c r="G7" s="120"/>
      <c r="H7" s="120"/>
      <c r="I7" s="121"/>
      <c r="J7" s="121"/>
      <c r="K7" s="121"/>
      <c r="L7" s="122"/>
      <c r="M7" s="122"/>
      <c r="N7" s="122"/>
      <c r="O7" s="122"/>
      <c r="P7" s="122"/>
      <c r="Q7" s="122"/>
      <c r="R7" s="122"/>
    </row>
    <row r="8" spans="1:20" ht="19.350000000000001" customHeight="1">
      <c r="A8" s="129" t="s">
        <v>174</v>
      </c>
      <c r="B8" s="54"/>
      <c r="C8" s="130"/>
      <c r="D8" s="130"/>
      <c r="E8" s="130"/>
      <c r="F8" s="130"/>
      <c r="G8" s="130"/>
      <c r="H8" s="120"/>
      <c r="I8" s="121"/>
      <c r="J8" s="121"/>
      <c r="K8" s="121"/>
      <c r="L8" s="122"/>
      <c r="M8" s="122"/>
      <c r="N8" s="122"/>
      <c r="O8" s="122"/>
      <c r="P8" s="122"/>
      <c r="Q8" s="122"/>
      <c r="R8" s="122"/>
    </row>
    <row r="9" spans="1:20" ht="19.350000000000001" customHeight="1">
      <c r="A9" s="120"/>
      <c r="B9" s="129"/>
      <c r="C9" s="130"/>
      <c r="D9" s="130"/>
      <c r="E9" s="130"/>
      <c r="F9" s="130"/>
      <c r="G9" s="130"/>
      <c r="H9" s="120"/>
      <c r="I9" s="121"/>
      <c r="J9" s="121"/>
      <c r="K9" s="121"/>
      <c r="L9" s="122"/>
      <c r="M9" s="122"/>
      <c r="N9" s="122"/>
      <c r="O9" s="122"/>
      <c r="P9" s="122"/>
      <c r="Q9" s="122"/>
      <c r="R9" s="122"/>
    </row>
    <row r="10" spans="1:20">
      <c r="A10" s="120"/>
      <c r="B10" s="54"/>
      <c r="C10" s="120"/>
      <c r="D10" s="120"/>
      <c r="E10" s="131"/>
      <c r="F10" s="131"/>
      <c r="G10" s="131"/>
      <c r="H10" s="120"/>
      <c r="I10" s="121"/>
      <c r="J10" s="121"/>
      <c r="K10" s="121"/>
      <c r="L10" s="122"/>
      <c r="M10" s="122"/>
      <c r="N10" s="122"/>
      <c r="O10" s="122"/>
      <c r="P10" s="122"/>
      <c r="Q10" s="122"/>
      <c r="R10" s="122"/>
    </row>
    <row r="11" spans="1:20" ht="23.25" customHeight="1">
      <c r="A11" s="84" t="s">
        <v>175</v>
      </c>
      <c r="B11" s="84" t="s">
        <v>176</v>
      </c>
      <c r="C11" s="132" t="s">
        <v>126</v>
      </c>
      <c r="D11" s="132" t="s">
        <v>177</v>
      </c>
      <c r="E11" s="133" t="s">
        <v>178</v>
      </c>
      <c r="F11" s="134" t="s">
        <v>179</v>
      </c>
      <c r="G11" s="135"/>
      <c r="H11" s="133" t="s">
        <v>180</v>
      </c>
      <c r="I11" s="134" t="s">
        <v>181</v>
      </c>
      <c r="J11" s="135"/>
      <c r="K11" s="54"/>
    </row>
    <row r="12" spans="1:20" ht="12" customHeight="1">
      <c r="A12" s="92"/>
      <c r="B12" s="92"/>
      <c r="C12" s="136"/>
      <c r="D12" s="136"/>
      <c r="E12" s="137"/>
      <c r="F12" s="138" t="s">
        <v>182</v>
      </c>
      <c r="G12" s="138" t="s">
        <v>183</v>
      </c>
      <c r="H12" s="137"/>
      <c r="I12" s="138" t="s">
        <v>182</v>
      </c>
      <c r="J12" s="138" t="s">
        <v>183</v>
      </c>
      <c r="K12" s="74" t="s">
        <v>10</v>
      </c>
    </row>
    <row r="13" spans="1:20" ht="12" customHeight="1">
      <c r="A13" s="96" t="s">
        <v>11</v>
      </c>
      <c r="B13" s="96" t="s">
        <v>12</v>
      </c>
      <c r="C13" s="96" t="s">
        <v>13</v>
      </c>
      <c r="D13" s="96" t="s">
        <v>14</v>
      </c>
      <c r="E13" s="96" t="s">
        <v>135</v>
      </c>
      <c r="F13" s="96" t="s">
        <v>136</v>
      </c>
      <c r="G13" s="96" t="s">
        <v>137</v>
      </c>
      <c r="H13" s="139" t="s">
        <v>138</v>
      </c>
      <c r="I13" s="139" t="s">
        <v>139</v>
      </c>
      <c r="J13" s="139" t="s">
        <v>140</v>
      </c>
      <c r="K13" s="139"/>
      <c r="L13" s="140"/>
      <c r="M13" s="140"/>
      <c r="N13" s="140"/>
      <c r="O13" s="140"/>
      <c r="P13" s="140"/>
      <c r="Q13" s="140"/>
      <c r="R13" s="140"/>
      <c r="S13" s="140"/>
      <c r="T13" s="140"/>
    </row>
    <row r="14" spans="1:20">
      <c r="A14" s="101">
        <v>1</v>
      </c>
      <c r="B14" s="37" t="s">
        <v>184</v>
      </c>
      <c r="C14" s="40">
        <v>0</v>
      </c>
      <c r="D14" s="40">
        <v>1</v>
      </c>
      <c r="E14" s="102">
        <f>((D14/$D$28)*F14)+((D14/$D$28)*G14)</f>
        <v>0</v>
      </c>
      <c r="F14" s="40">
        <v>0</v>
      </c>
      <c r="G14" s="40">
        <v>0</v>
      </c>
      <c r="H14" s="102">
        <f t="shared" ref="H14:H28" si="0">((D14/$D$28)*I14)+((D14/$D$28)*J14)</f>
        <v>0</v>
      </c>
      <c r="I14" s="40">
        <v>0</v>
      </c>
      <c r="J14" s="40">
        <v>0</v>
      </c>
      <c r="K14" s="139"/>
    </row>
    <row r="15" spans="1:20">
      <c r="A15" s="101">
        <v>2</v>
      </c>
      <c r="B15" s="37" t="s">
        <v>185</v>
      </c>
      <c r="C15" s="40">
        <v>0</v>
      </c>
      <c r="D15" s="40">
        <v>0</v>
      </c>
      <c r="E15" s="102">
        <f t="shared" ref="E15:E26" si="1">((D15/$D$28)*F15)+((D15/$D$28)*G15)</f>
        <v>0</v>
      </c>
      <c r="F15" s="40">
        <v>0</v>
      </c>
      <c r="G15" s="40">
        <v>0</v>
      </c>
      <c r="H15" s="102">
        <f t="shared" si="0"/>
        <v>0</v>
      </c>
      <c r="I15" s="40">
        <v>0</v>
      </c>
      <c r="J15" s="40">
        <v>0</v>
      </c>
      <c r="K15" s="139"/>
    </row>
    <row r="16" spans="1:20">
      <c r="A16" s="101">
        <v>3</v>
      </c>
      <c r="B16" s="37" t="s">
        <v>186</v>
      </c>
      <c r="C16" s="40">
        <v>0</v>
      </c>
      <c r="D16" s="40">
        <v>0</v>
      </c>
      <c r="E16" s="102">
        <f t="shared" si="1"/>
        <v>0</v>
      </c>
      <c r="F16" s="40">
        <v>0</v>
      </c>
      <c r="G16" s="40">
        <v>0</v>
      </c>
      <c r="H16" s="102">
        <f t="shared" si="0"/>
        <v>0</v>
      </c>
      <c r="I16" s="40">
        <v>0</v>
      </c>
      <c r="J16" s="40">
        <v>0</v>
      </c>
      <c r="K16" s="74"/>
    </row>
    <row r="17" spans="1:18">
      <c r="A17" s="101">
        <v>4</v>
      </c>
      <c r="B17" s="37" t="s">
        <v>187</v>
      </c>
      <c r="C17" s="40">
        <v>0</v>
      </c>
      <c r="D17" s="40">
        <v>0</v>
      </c>
      <c r="E17" s="102">
        <f t="shared" si="1"/>
        <v>0</v>
      </c>
      <c r="F17" s="40">
        <v>0</v>
      </c>
      <c r="G17" s="40">
        <v>0</v>
      </c>
      <c r="H17" s="102">
        <f t="shared" si="0"/>
        <v>0</v>
      </c>
      <c r="I17" s="40">
        <v>0</v>
      </c>
      <c r="J17" s="40">
        <v>0</v>
      </c>
      <c r="K17" s="74"/>
    </row>
    <row r="18" spans="1:18">
      <c r="A18" s="101">
        <v>5</v>
      </c>
      <c r="B18" s="37" t="s">
        <v>188</v>
      </c>
      <c r="C18" s="40">
        <v>0</v>
      </c>
      <c r="D18" s="40">
        <v>0</v>
      </c>
      <c r="E18" s="102">
        <f t="shared" si="1"/>
        <v>0</v>
      </c>
      <c r="F18" s="40">
        <v>0</v>
      </c>
      <c r="G18" s="40">
        <v>0</v>
      </c>
      <c r="H18" s="102">
        <f t="shared" si="0"/>
        <v>0</v>
      </c>
      <c r="I18" s="40">
        <v>0</v>
      </c>
      <c r="J18" s="40">
        <v>0</v>
      </c>
      <c r="K18" s="74"/>
    </row>
    <row r="19" spans="1:18">
      <c r="A19" s="101">
        <v>6</v>
      </c>
      <c r="B19" s="37" t="s">
        <v>189</v>
      </c>
      <c r="C19" s="40">
        <v>0</v>
      </c>
      <c r="D19" s="40">
        <v>0</v>
      </c>
      <c r="E19" s="102">
        <f t="shared" si="1"/>
        <v>0</v>
      </c>
      <c r="F19" s="40">
        <v>0</v>
      </c>
      <c r="G19" s="40">
        <v>0</v>
      </c>
      <c r="H19" s="102">
        <f t="shared" si="0"/>
        <v>0</v>
      </c>
      <c r="I19" s="40">
        <v>0</v>
      </c>
      <c r="J19" s="40">
        <v>0</v>
      </c>
      <c r="K19" s="74"/>
    </row>
    <row r="20" spans="1:18" ht="25.5">
      <c r="A20" s="101">
        <v>7</v>
      </c>
      <c r="B20" s="141" t="s">
        <v>190</v>
      </c>
      <c r="C20" s="40">
        <v>0</v>
      </c>
      <c r="D20" s="40">
        <v>0</v>
      </c>
      <c r="E20" s="102">
        <f t="shared" si="1"/>
        <v>0</v>
      </c>
      <c r="F20" s="40">
        <v>0</v>
      </c>
      <c r="G20" s="40">
        <v>0</v>
      </c>
      <c r="H20" s="102">
        <f t="shared" si="0"/>
        <v>0</v>
      </c>
      <c r="I20" s="40">
        <v>0</v>
      </c>
      <c r="J20" s="40">
        <v>0</v>
      </c>
      <c r="K20" s="74"/>
    </row>
    <row r="21" spans="1:18">
      <c r="A21" s="101">
        <v>8</v>
      </c>
      <c r="B21" s="37" t="s">
        <v>191</v>
      </c>
      <c r="C21" s="40">
        <v>0</v>
      </c>
      <c r="D21" s="40">
        <v>0</v>
      </c>
      <c r="E21" s="102">
        <f t="shared" si="1"/>
        <v>0</v>
      </c>
      <c r="F21" s="40">
        <v>0</v>
      </c>
      <c r="G21" s="40">
        <v>0</v>
      </c>
      <c r="H21" s="102">
        <f t="shared" si="0"/>
        <v>0</v>
      </c>
      <c r="I21" s="40">
        <v>0</v>
      </c>
      <c r="J21" s="40">
        <v>0</v>
      </c>
      <c r="K21" s="74"/>
    </row>
    <row r="22" spans="1:18">
      <c r="A22" s="101">
        <v>9</v>
      </c>
      <c r="B22" s="37" t="s">
        <v>192</v>
      </c>
      <c r="C22" s="40">
        <v>0</v>
      </c>
      <c r="D22" s="40">
        <v>0</v>
      </c>
      <c r="E22" s="102">
        <f t="shared" si="1"/>
        <v>0</v>
      </c>
      <c r="F22" s="40">
        <v>0</v>
      </c>
      <c r="G22" s="40">
        <v>0</v>
      </c>
      <c r="H22" s="102">
        <f t="shared" si="0"/>
        <v>0</v>
      </c>
      <c r="I22" s="40">
        <v>0</v>
      </c>
      <c r="J22" s="40">
        <v>0</v>
      </c>
      <c r="K22" s="74"/>
    </row>
    <row r="23" spans="1:18">
      <c r="A23" s="101">
        <v>10</v>
      </c>
      <c r="B23" s="37" t="s">
        <v>193</v>
      </c>
      <c r="C23" s="5">
        <f>SUM(C24:C25)</f>
        <v>0</v>
      </c>
      <c r="D23" s="5">
        <f>SUM(D24:D25)</f>
        <v>0</v>
      </c>
      <c r="E23" s="142">
        <v>0</v>
      </c>
      <c r="F23" s="142">
        <v>0</v>
      </c>
      <c r="G23" s="142">
        <v>0</v>
      </c>
      <c r="H23" s="142">
        <v>0</v>
      </c>
      <c r="I23" s="142">
        <v>0</v>
      </c>
      <c r="J23" s="142">
        <v>0</v>
      </c>
      <c r="K23" s="74"/>
    </row>
    <row r="24" spans="1:18">
      <c r="A24" s="101">
        <v>11</v>
      </c>
      <c r="B24" s="37" t="s">
        <v>194</v>
      </c>
      <c r="C24" s="40">
        <v>0</v>
      </c>
      <c r="D24" s="40">
        <v>0</v>
      </c>
      <c r="E24" s="102">
        <f t="shared" si="1"/>
        <v>0</v>
      </c>
      <c r="F24" s="40">
        <v>0</v>
      </c>
      <c r="G24" s="40">
        <v>0</v>
      </c>
      <c r="H24" s="102">
        <f t="shared" si="0"/>
        <v>0</v>
      </c>
      <c r="I24" s="40">
        <v>0</v>
      </c>
      <c r="J24" s="40">
        <v>0</v>
      </c>
      <c r="K24" s="74"/>
    </row>
    <row r="25" spans="1:18">
      <c r="A25" s="101">
        <v>12</v>
      </c>
      <c r="B25" s="37" t="s">
        <v>195</v>
      </c>
      <c r="C25" s="40">
        <v>0</v>
      </c>
      <c r="D25" s="40">
        <v>0</v>
      </c>
      <c r="E25" s="102">
        <f t="shared" si="1"/>
        <v>0</v>
      </c>
      <c r="F25" s="40">
        <v>0</v>
      </c>
      <c r="G25" s="40">
        <v>0</v>
      </c>
      <c r="H25" s="102">
        <f t="shared" si="0"/>
        <v>0</v>
      </c>
      <c r="I25" s="40">
        <v>0</v>
      </c>
      <c r="J25" s="40">
        <v>0</v>
      </c>
      <c r="K25" s="74"/>
    </row>
    <row r="26" spans="1:18">
      <c r="A26" s="101">
        <v>13</v>
      </c>
      <c r="B26" s="37" t="s">
        <v>196</v>
      </c>
      <c r="C26" s="40">
        <v>0</v>
      </c>
      <c r="D26" s="40">
        <v>0</v>
      </c>
      <c r="E26" s="102">
        <f t="shared" si="1"/>
        <v>0</v>
      </c>
      <c r="F26" s="40">
        <v>0</v>
      </c>
      <c r="G26" s="40">
        <v>0</v>
      </c>
      <c r="H26" s="102">
        <f t="shared" si="0"/>
        <v>0</v>
      </c>
      <c r="I26" s="40">
        <v>0</v>
      </c>
      <c r="J26" s="40">
        <v>0</v>
      </c>
      <c r="K26" s="74"/>
    </row>
    <row r="27" spans="1:18">
      <c r="A27" s="101">
        <v>14</v>
      </c>
      <c r="B27" s="37" t="s">
        <v>197</v>
      </c>
      <c r="C27" s="40">
        <v>0</v>
      </c>
      <c r="D27" s="40">
        <v>0</v>
      </c>
      <c r="E27" s="102">
        <f>((D27/$D$28)*F27)+((D27/$D$28)*G27)</f>
        <v>0</v>
      </c>
      <c r="F27" s="40">
        <v>0</v>
      </c>
      <c r="G27" s="40">
        <v>0</v>
      </c>
      <c r="H27" s="102">
        <f t="shared" si="0"/>
        <v>0</v>
      </c>
      <c r="I27" s="40">
        <v>0</v>
      </c>
      <c r="J27" s="40">
        <v>0</v>
      </c>
      <c r="K27" s="74"/>
    </row>
    <row r="28" spans="1:18">
      <c r="A28" s="101">
        <v>15</v>
      </c>
      <c r="B28" s="45" t="s">
        <v>198</v>
      </c>
      <c r="C28" s="4">
        <f>SUM(C14:C22)+(C23+C26+C27)</f>
        <v>0</v>
      </c>
      <c r="D28" s="4">
        <f>SUM(D14:D22)+(D23+D26+D27)</f>
        <v>1</v>
      </c>
      <c r="E28" s="142">
        <f>((D28/$D$28)*F28)+((D28/$D$28)*G28)</f>
        <v>0</v>
      </c>
      <c r="F28" s="108">
        <v>0</v>
      </c>
      <c r="G28" s="108">
        <v>0</v>
      </c>
      <c r="H28" s="142">
        <f t="shared" si="0"/>
        <v>0</v>
      </c>
      <c r="I28" s="108">
        <v>0</v>
      </c>
      <c r="J28" s="108">
        <v>0</v>
      </c>
      <c r="K28" s="74" t="s">
        <v>199</v>
      </c>
    </row>
    <row r="29" spans="1:18">
      <c r="A29" s="54"/>
      <c r="B29" s="54"/>
      <c r="C29" s="54"/>
      <c r="D29" s="54"/>
      <c r="E29" s="54"/>
      <c r="F29" s="54"/>
      <c r="G29" s="54"/>
      <c r="H29" s="143"/>
      <c r="I29" s="144"/>
      <c r="J29" s="145"/>
      <c r="K29" s="145"/>
      <c r="L29" s="146"/>
      <c r="M29" s="146"/>
      <c r="N29" s="146"/>
      <c r="O29" s="146"/>
      <c r="P29" s="146"/>
      <c r="Q29" s="146"/>
      <c r="R29" s="146"/>
    </row>
    <row r="30" spans="1:18">
      <c r="A30" s="54"/>
      <c r="B30" s="54"/>
      <c r="C30" s="54"/>
      <c r="D30" s="54"/>
      <c r="E30" s="143"/>
      <c r="F30" s="143"/>
      <c r="G30" s="143"/>
      <c r="H30" s="143"/>
      <c r="I30" s="144"/>
      <c r="J30" s="145"/>
      <c r="K30" s="145"/>
      <c r="L30" s="146"/>
      <c r="M30" s="146"/>
      <c r="N30" s="146"/>
      <c r="O30" s="146"/>
      <c r="P30" s="146"/>
      <c r="Q30" s="146"/>
      <c r="R30" s="146"/>
    </row>
    <row r="31" spans="1:18">
      <c r="A31" s="54"/>
      <c r="B31" s="54"/>
      <c r="C31" s="54"/>
      <c r="D31" s="54"/>
      <c r="E31" s="143"/>
      <c r="F31" s="143"/>
      <c r="G31" s="143"/>
      <c r="H31" s="143"/>
      <c r="I31" s="144"/>
      <c r="J31" s="145"/>
      <c r="K31" s="145"/>
      <c r="L31" s="146"/>
      <c r="M31" s="146"/>
      <c r="N31" s="146"/>
      <c r="O31" s="146"/>
      <c r="P31" s="146"/>
      <c r="Q31" s="146"/>
      <c r="R31" s="146"/>
    </row>
    <row r="32" spans="1:18">
      <c r="A32" s="54"/>
      <c r="B32" s="54"/>
      <c r="C32" s="54"/>
      <c r="D32" s="54"/>
      <c r="E32" s="143"/>
      <c r="F32" s="143"/>
      <c r="G32" s="143"/>
      <c r="H32" s="143"/>
      <c r="I32" s="144"/>
      <c r="J32" s="145"/>
      <c r="K32" s="145"/>
      <c r="L32" s="146"/>
      <c r="M32" s="146"/>
      <c r="N32" s="146"/>
      <c r="O32" s="146"/>
      <c r="P32" s="146"/>
      <c r="Q32" s="146"/>
      <c r="R32" s="146"/>
    </row>
    <row r="33" spans="1:18">
      <c r="A33" s="54"/>
      <c r="B33" s="54"/>
      <c r="C33" s="54"/>
      <c r="D33" s="54"/>
      <c r="E33" s="143"/>
      <c r="F33" s="143"/>
      <c r="G33" s="143"/>
      <c r="H33" s="143"/>
      <c r="I33" s="144"/>
      <c r="J33" s="145"/>
      <c r="K33" s="145"/>
      <c r="L33" s="146"/>
      <c r="M33" s="146"/>
      <c r="N33" s="146"/>
      <c r="O33" s="146"/>
      <c r="P33" s="146"/>
      <c r="Q33" s="146"/>
      <c r="R33" s="146"/>
    </row>
    <row r="34" spans="1:18">
      <c r="A34" s="54"/>
      <c r="B34" s="54"/>
      <c r="C34" s="54"/>
      <c r="D34" s="54"/>
      <c r="E34" s="143"/>
      <c r="F34" s="143"/>
      <c r="G34" s="143"/>
      <c r="H34" s="143"/>
      <c r="I34" s="144"/>
      <c r="J34" s="145"/>
      <c r="K34" s="145"/>
      <c r="L34" s="146"/>
      <c r="M34" s="146"/>
      <c r="N34" s="146"/>
      <c r="O34" s="146"/>
      <c r="P34" s="146"/>
      <c r="Q34" s="146"/>
      <c r="R34" s="146"/>
    </row>
    <row r="35" spans="1:18">
      <c r="A35" s="54"/>
      <c r="B35" s="54"/>
      <c r="C35" s="54"/>
      <c r="D35" s="54"/>
      <c r="E35" s="143"/>
      <c r="F35" s="143"/>
      <c r="G35" s="143"/>
      <c r="H35" s="143"/>
      <c r="I35" s="144"/>
      <c r="J35" s="145"/>
      <c r="K35" s="145"/>
      <c r="L35" s="146"/>
      <c r="M35" s="146"/>
      <c r="N35" s="146"/>
      <c r="O35" s="146"/>
      <c r="P35" s="146"/>
      <c r="Q35" s="146"/>
      <c r="R35" s="146"/>
    </row>
    <row r="36" spans="1:18">
      <c r="A36" s="54"/>
      <c r="B36" s="54"/>
      <c r="C36" s="54"/>
      <c r="D36" s="54"/>
      <c r="E36" s="143"/>
      <c r="F36" s="143"/>
      <c r="G36" s="143"/>
      <c r="H36" s="143"/>
      <c r="I36" s="144"/>
      <c r="J36" s="145"/>
      <c r="K36" s="145"/>
      <c r="L36" s="146"/>
      <c r="M36" s="146"/>
      <c r="N36" s="146"/>
      <c r="O36" s="146"/>
      <c r="P36" s="146"/>
      <c r="Q36" s="146"/>
      <c r="R36" s="146"/>
    </row>
    <row r="37" spans="1:18">
      <c r="A37" s="54"/>
      <c r="B37" s="54"/>
      <c r="C37" s="54"/>
      <c r="D37" s="54"/>
      <c r="E37" s="143"/>
      <c r="F37" s="143"/>
      <c r="G37" s="143"/>
      <c r="H37" s="143"/>
      <c r="I37" s="144"/>
      <c r="J37" s="145"/>
      <c r="K37" s="145"/>
      <c r="L37" s="146"/>
      <c r="M37" s="146"/>
      <c r="N37" s="146"/>
      <c r="O37" s="146"/>
      <c r="P37" s="146"/>
      <c r="Q37" s="146"/>
      <c r="R37" s="146"/>
    </row>
    <row r="38" spans="1:18">
      <c r="A38" s="30"/>
      <c r="B38" s="30"/>
      <c r="C38" s="30"/>
      <c r="D38" s="30"/>
      <c r="E38" s="144"/>
      <c r="F38" s="143"/>
      <c r="G38" s="143"/>
      <c r="H38" s="143"/>
      <c r="I38" s="144"/>
      <c r="J38" s="145"/>
      <c r="K38" s="145"/>
      <c r="L38" s="146"/>
      <c r="M38" s="146"/>
      <c r="N38" s="146"/>
      <c r="O38" s="146"/>
      <c r="P38" s="146"/>
      <c r="Q38" s="146"/>
      <c r="R38" s="146"/>
    </row>
    <row r="39" spans="1:18">
      <c r="A39" s="30"/>
      <c r="B39" s="30"/>
      <c r="C39" s="30"/>
      <c r="D39" s="30"/>
      <c r="E39" s="144"/>
      <c r="F39" s="143"/>
      <c r="G39" s="143"/>
      <c r="H39" s="143"/>
      <c r="I39" s="144"/>
      <c r="J39" s="145"/>
      <c r="K39" s="145"/>
      <c r="L39" s="146"/>
      <c r="M39" s="146"/>
      <c r="N39" s="146"/>
      <c r="O39" s="146"/>
      <c r="P39" s="146"/>
      <c r="Q39" s="146"/>
      <c r="R39" s="146"/>
    </row>
    <row r="40" spans="1:18">
      <c r="A40" s="30"/>
      <c r="B40" s="30"/>
      <c r="C40" s="30"/>
      <c r="D40" s="30"/>
      <c r="E40" s="144"/>
      <c r="F40" s="143"/>
      <c r="G40" s="143"/>
      <c r="H40" s="143"/>
      <c r="I40" s="144"/>
      <c r="J40" s="145"/>
      <c r="K40" s="145"/>
      <c r="L40" s="146"/>
      <c r="M40" s="146"/>
      <c r="N40" s="146"/>
      <c r="O40" s="146"/>
      <c r="P40" s="146"/>
      <c r="Q40" s="146"/>
      <c r="R40" s="146"/>
    </row>
    <row r="41" spans="1:18">
      <c r="A41" s="30"/>
      <c r="B41" s="30"/>
      <c r="C41" s="30"/>
      <c r="D41" s="30"/>
      <c r="E41" s="144"/>
      <c r="F41" s="143"/>
      <c r="G41" s="143"/>
      <c r="H41" s="143"/>
      <c r="I41" s="144"/>
      <c r="J41" s="145"/>
      <c r="K41" s="145"/>
      <c r="L41" s="146"/>
      <c r="M41" s="146"/>
      <c r="N41" s="146"/>
      <c r="O41" s="146"/>
      <c r="P41" s="146"/>
      <c r="Q41" s="146"/>
      <c r="R41" s="146"/>
    </row>
    <row r="42" spans="1:18">
      <c r="A42" s="30"/>
      <c r="B42" s="30"/>
      <c r="C42" s="30"/>
      <c r="D42" s="30"/>
      <c r="E42" s="144"/>
      <c r="F42" s="143"/>
      <c r="G42" s="143"/>
      <c r="H42" s="143"/>
      <c r="I42" s="144"/>
      <c r="J42" s="145"/>
      <c r="K42" s="145"/>
      <c r="L42" s="146"/>
      <c r="M42" s="146"/>
      <c r="N42" s="146"/>
      <c r="O42" s="146"/>
      <c r="P42" s="146"/>
      <c r="Q42" s="146"/>
      <c r="R42" s="146"/>
    </row>
    <row r="43" spans="1:18">
      <c r="A43" s="30"/>
      <c r="B43" s="30"/>
      <c r="C43" s="30"/>
      <c r="D43" s="30"/>
      <c r="E43" s="144"/>
      <c r="F43" s="143"/>
      <c r="G43" s="143"/>
      <c r="H43" s="143"/>
      <c r="I43" s="144"/>
      <c r="J43" s="145"/>
      <c r="K43" s="145"/>
      <c r="L43" s="146"/>
      <c r="M43" s="146"/>
      <c r="N43" s="146"/>
      <c r="O43" s="146"/>
      <c r="P43" s="146"/>
      <c r="Q43" s="146"/>
      <c r="R43" s="146"/>
    </row>
    <row r="44" spans="1:18">
      <c r="A44" s="145"/>
      <c r="B44" s="145"/>
      <c r="C44" s="145"/>
      <c r="D44" s="145"/>
      <c r="E44" s="144"/>
      <c r="F44" s="143"/>
      <c r="G44" s="143"/>
      <c r="H44" s="143"/>
      <c r="I44" s="144"/>
      <c r="J44" s="145"/>
      <c r="K44" s="145"/>
      <c r="L44" s="146"/>
      <c r="M44" s="146"/>
      <c r="N44" s="146"/>
      <c r="O44" s="146"/>
      <c r="P44" s="146"/>
      <c r="Q44" s="146"/>
      <c r="R44" s="146"/>
    </row>
    <row r="45" spans="1:18">
      <c r="A45" s="145"/>
      <c r="B45" s="145"/>
      <c r="C45" s="145"/>
      <c r="D45" s="145"/>
      <c r="E45" s="144"/>
      <c r="F45" s="143"/>
      <c r="G45" s="143"/>
      <c r="H45" s="143"/>
      <c r="I45" s="144"/>
      <c r="J45" s="145"/>
      <c r="K45" s="145"/>
      <c r="L45" s="146"/>
      <c r="M45" s="146"/>
      <c r="N45" s="146"/>
      <c r="O45" s="146"/>
      <c r="P45" s="146"/>
      <c r="Q45" s="146"/>
      <c r="R45" s="146"/>
    </row>
    <row r="46" spans="1:18">
      <c r="A46" s="145"/>
      <c r="B46" s="145"/>
      <c r="C46" s="145"/>
      <c r="D46" s="145"/>
      <c r="E46" s="144"/>
      <c r="F46" s="143"/>
      <c r="G46" s="143"/>
      <c r="H46" s="143"/>
      <c r="I46" s="144"/>
      <c r="J46" s="145"/>
      <c r="K46" s="145"/>
      <c r="L46" s="146"/>
      <c r="M46" s="146"/>
      <c r="N46" s="146"/>
      <c r="O46" s="146"/>
      <c r="P46" s="146"/>
      <c r="Q46" s="146"/>
      <c r="R46" s="146"/>
    </row>
    <row r="47" spans="1:18">
      <c r="A47" s="145"/>
      <c r="B47" s="145"/>
      <c r="C47" s="145"/>
      <c r="D47" s="145"/>
      <c r="E47" s="144"/>
      <c r="F47" s="143"/>
      <c r="G47" s="143"/>
      <c r="H47" s="143"/>
      <c r="I47" s="144"/>
      <c r="J47" s="145"/>
      <c r="K47" s="145"/>
      <c r="L47" s="146"/>
      <c r="M47" s="146"/>
      <c r="N47" s="146"/>
      <c r="O47" s="146"/>
      <c r="P47" s="146"/>
      <c r="Q47" s="146"/>
      <c r="R47" s="146"/>
    </row>
    <row r="48" spans="1:18">
      <c r="A48" s="145"/>
      <c r="B48" s="145"/>
      <c r="C48" s="145"/>
      <c r="D48" s="145"/>
      <c r="E48" s="144"/>
      <c r="F48" s="143"/>
      <c r="G48" s="143"/>
      <c r="H48" s="143"/>
      <c r="I48" s="144"/>
      <c r="J48" s="145"/>
      <c r="K48" s="145"/>
      <c r="L48" s="146"/>
      <c r="M48" s="146"/>
      <c r="N48" s="146"/>
      <c r="O48" s="146"/>
      <c r="P48" s="146"/>
      <c r="Q48" s="146"/>
      <c r="R48" s="146"/>
    </row>
    <row r="49" spans="1:18">
      <c r="A49" s="145"/>
      <c r="B49" s="145"/>
      <c r="C49" s="145"/>
      <c r="D49" s="145"/>
      <c r="E49" s="144"/>
      <c r="F49" s="143"/>
      <c r="G49" s="143"/>
      <c r="H49" s="143"/>
      <c r="I49" s="144"/>
      <c r="J49" s="145"/>
      <c r="K49" s="145"/>
      <c r="L49" s="146"/>
      <c r="M49" s="146"/>
      <c r="N49" s="146"/>
      <c r="O49" s="146"/>
      <c r="P49" s="146"/>
      <c r="Q49" s="146"/>
      <c r="R49" s="146"/>
    </row>
    <row r="50" spans="1:18">
      <c r="A50" s="145"/>
      <c r="B50" s="145"/>
      <c r="C50" s="145"/>
      <c r="D50" s="145"/>
      <c r="E50" s="144"/>
      <c r="F50" s="143"/>
      <c r="G50" s="143"/>
      <c r="H50" s="143"/>
      <c r="I50" s="144"/>
      <c r="J50" s="145"/>
      <c r="K50" s="145"/>
      <c r="L50" s="146"/>
      <c r="M50" s="146"/>
      <c r="N50" s="146"/>
      <c r="O50" s="146"/>
      <c r="P50" s="146"/>
      <c r="Q50" s="146"/>
      <c r="R50" s="146"/>
    </row>
    <row r="51" spans="1:18">
      <c r="A51" s="145"/>
      <c r="B51" s="145"/>
      <c r="C51" s="145"/>
      <c r="D51" s="145"/>
      <c r="E51" s="144"/>
      <c r="F51" s="143"/>
      <c r="G51" s="143"/>
      <c r="H51" s="143"/>
      <c r="I51" s="144"/>
      <c r="J51" s="145"/>
      <c r="K51" s="145"/>
      <c r="L51" s="146"/>
      <c r="M51" s="146"/>
      <c r="N51" s="146"/>
      <c r="O51" s="146"/>
      <c r="P51" s="146"/>
      <c r="Q51" s="146"/>
      <c r="R51" s="146"/>
    </row>
    <row r="52" spans="1:18">
      <c r="A52" s="145"/>
      <c r="B52" s="145"/>
      <c r="C52" s="145"/>
      <c r="D52" s="145"/>
      <c r="E52" s="144"/>
      <c r="F52" s="143"/>
      <c r="G52" s="143"/>
      <c r="H52" s="143"/>
      <c r="I52" s="144"/>
      <c r="J52" s="145"/>
      <c r="K52" s="145"/>
      <c r="L52" s="146"/>
      <c r="M52" s="146"/>
      <c r="N52" s="146"/>
      <c r="O52" s="146"/>
      <c r="P52" s="146"/>
      <c r="Q52" s="146"/>
      <c r="R52" s="146"/>
    </row>
    <row r="53" spans="1:18">
      <c r="A53" s="145"/>
      <c r="B53" s="145"/>
      <c r="C53" s="145"/>
      <c r="D53" s="145"/>
      <c r="E53" s="144"/>
      <c r="F53" s="143"/>
      <c r="G53" s="143"/>
      <c r="H53" s="143"/>
      <c r="I53" s="144"/>
      <c r="J53" s="145"/>
      <c r="K53" s="145"/>
      <c r="L53" s="146"/>
      <c r="M53" s="146"/>
      <c r="N53" s="146"/>
      <c r="O53" s="146"/>
      <c r="P53" s="146"/>
      <c r="Q53" s="146"/>
      <c r="R53" s="146"/>
    </row>
    <row r="54" spans="1:18">
      <c r="A54" s="145"/>
      <c r="B54" s="145"/>
      <c r="C54" s="145"/>
      <c r="D54" s="145"/>
      <c r="E54" s="144"/>
      <c r="F54" s="143"/>
      <c r="G54" s="143"/>
      <c r="H54" s="143"/>
      <c r="I54" s="144"/>
      <c r="J54" s="145"/>
      <c r="K54" s="145"/>
      <c r="L54" s="146"/>
      <c r="M54" s="146"/>
      <c r="N54" s="146"/>
      <c r="O54" s="146"/>
      <c r="P54" s="146"/>
      <c r="Q54" s="146"/>
      <c r="R54" s="146"/>
    </row>
    <row r="55" spans="1:18">
      <c r="A55" s="145"/>
      <c r="B55" s="145"/>
      <c r="C55" s="145"/>
      <c r="D55" s="145"/>
      <c r="E55" s="144"/>
      <c r="F55" s="143"/>
      <c r="G55" s="143"/>
      <c r="H55" s="143"/>
      <c r="I55" s="144"/>
      <c r="J55" s="145"/>
      <c r="K55" s="145"/>
      <c r="L55" s="146"/>
      <c r="M55" s="146"/>
      <c r="N55" s="146"/>
      <c r="O55" s="146"/>
      <c r="P55" s="146"/>
      <c r="Q55" s="146"/>
      <c r="R55" s="146"/>
    </row>
    <row r="56" spans="1:18">
      <c r="A56" s="145"/>
      <c r="B56" s="145"/>
      <c r="C56" s="145"/>
      <c r="D56" s="145"/>
      <c r="E56" s="144"/>
      <c r="F56" s="143"/>
      <c r="G56" s="143"/>
      <c r="H56" s="143"/>
      <c r="I56" s="144"/>
      <c r="J56" s="145"/>
      <c r="K56" s="145"/>
      <c r="L56" s="146"/>
      <c r="M56" s="146"/>
      <c r="N56" s="146"/>
      <c r="O56" s="146"/>
      <c r="P56" s="146"/>
      <c r="Q56" s="146"/>
      <c r="R56" s="146"/>
    </row>
    <row r="57" spans="1:18">
      <c r="A57" s="145"/>
      <c r="B57" s="145"/>
      <c r="C57" s="145"/>
      <c r="D57" s="145"/>
      <c r="E57" s="144"/>
      <c r="F57" s="143"/>
      <c r="G57" s="143"/>
      <c r="H57" s="143"/>
      <c r="I57" s="144"/>
      <c r="J57" s="145"/>
      <c r="K57" s="145"/>
      <c r="L57" s="146"/>
      <c r="M57" s="146"/>
      <c r="N57" s="146"/>
      <c r="O57" s="146"/>
      <c r="P57" s="146"/>
      <c r="Q57" s="146"/>
      <c r="R57" s="146"/>
    </row>
    <row r="58" spans="1:18">
      <c r="A58" s="145"/>
      <c r="B58" s="145"/>
      <c r="C58" s="145"/>
      <c r="D58" s="145"/>
      <c r="E58" s="144"/>
      <c r="F58" s="143"/>
      <c r="G58" s="143"/>
      <c r="H58" s="143"/>
      <c r="I58" s="144"/>
      <c r="J58" s="145"/>
      <c r="K58" s="145"/>
      <c r="L58" s="146"/>
      <c r="M58" s="146"/>
      <c r="N58" s="146"/>
      <c r="O58" s="146"/>
      <c r="P58" s="146"/>
      <c r="Q58" s="146"/>
      <c r="R58" s="146"/>
    </row>
    <row r="59" spans="1:18">
      <c r="A59" s="145"/>
      <c r="B59" s="145"/>
      <c r="C59" s="145"/>
      <c r="D59" s="145"/>
      <c r="E59" s="144"/>
      <c r="F59" s="143"/>
      <c r="G59" s="143"/>
      <c r="H59" s="143"/>
      <c r="I59" s="144"/>
      <c r="J59" s="145"/>
      <c r="K59" s="145"/>
      <c r="L59" s="146"/>
      <c r="M59" s="146"/>
      <c r="N59" s="146"/>
      <c r="O59" s="146"/>
      <c r="P59" s="146"/>
      <c r="Q59" s="146"/>
      <c r="R59" s="146"/>
    </row>
    <row r="60" spans="1:18">
      <c r="A60" s="145"/>
      <c r="B60" s="145"/>
      <c r="C60" s="145"/>
      <c r="D60" s="145"/>
      <c r="E60" s="144"/>
      <c r="F60" s="143"/>
      <c r="G60" s="143"/>
      <c r="H60" s="143"/>
      <c r="I60" s="144"/>
      <c r="J60" s="145"/>
      <c r="K60" s="145"/>
      <c r="L60" s="146"/>
      <c r="M60" s="146"/>
      <c r="N60" s="146"/>
      <c r="O60" s="146"/>
      <c r="P60" s="146"/>
      <c r="Q60" s="146"/>
      <c r="R60" s="146"/>
    </row>
    <row r="61" spans="1:18">
      <c r="A61" s="145"/>
      <c r="B61" s="145"/>
      <c r="C61" s="145"/>
      <c r="D61" s="145"/>
      <c r="E61" s="144"/>
      <c r="F61" s="143"/>
      <c r="G61" s="143"/>
      <c r="H61" s="143"/>
      <c r="I61" s="144"/>
      <c r="J61" s="145"/>
      <c r="K61" s="145"/>
      <c r="L61" s="146"/>
      <c r="M61" s="146"/>
      <c r="N61" s="146"/>
      <c r="O61" s="146"/>
      <c r="P61" s="146"/>
      <c r="Q61" s="146"/>
      <c r="R61" s="146"/>
    </row>
    <row r="62" spans="1:18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6"/>
      <c r="M62" s="146"/>
      <c r="N62" s="146"/>
      <c r="O62" s="146"/>
      <c r="P62" s="146"/>
      <c r="Q62" s="146"/>
      <c r="R62" s="146"/>
    </row>
    <row r="63" spans="1:18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6"/>
      <c r="M63" s="146"/>
      <c r="N63" s="146"/>
      <c r="O63" s="146"/>
      <c r="P63" s="146"/>
      <c r="Q63" s="146"/>
      <c r="R63" s="146"/>
    </row>
    <row r="64" spans="1:18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6"/>
      <c r="M64" s="146"/>
      <c r="N64" s="146"/>
      <c r="O64" s="146"/>
      <c r="P64" s="146"/>
      <c r="Q64" s="146"/>
      <c r="R64" s="146"/>
    </row>
    <row r="65" spans="1:18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6"/>
      <c r="M65" s="146"/>
      <c r="N65" s="146"/>
      <c r="O65" s="146"/>
      <c r="P65" s="146"/>
      <c r="Q65" s="146"/>
      <c r="R65" s="146"/>
    </row>
    <row r="66" spans="1:18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6"/>
      <c r="M66" s="146"/>
      <c r="N66" s="146"/>
      <c r="O66" s="146"/>
      <c r="P66" s="146"/>
      <c r="Q66" s="146"/>
      <c r="R66" s="146"/>
    </row>
    <row r="67" spans="1:18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6"/>
      <c r="M67" s="146"/>
      <c r="N67" s="146"/>
      <c r="O67" s="146"/>
      <c r="P67" s="146"/>
      <c r="Q67" s="146"/>
      <c r="R67" s="146"/>
    </row>
    <row r="68" spans="1:18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6"/>
      <c r="M68" s="146"/>
      <c r="N68" s="146"/>
      <c r="O68" s="146"/>
      <c r="P68" s="146"/>
      <c r="Q68" s="146"/>
      <c r="R68" s="146"/>
    </row>
    <row r="69" spans="1:18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6"/>
      <c r="M69" s="146"/>
      <c r="N69" s="146"/>
      <c r="O69" s="146"/>
      <c r="P69" s="146"/>
      <c r="Q69" s="146"/>
      <c r="R69" s="146"/>
    </row>
    <row r="70" spans="1:18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6"/>
      <c r="M70" s="146"/>
      <c r="N70" s="146"/>
      <c r="O70" s="146"/>
      <c r="P70" s="146"/>
      <c r="Q70" s="146"/>
      <c r="R70" s="146"/>
    </row>
    <row r="71" spans="1:18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6"/>
      <c r="M71" s="146"/>
      <c r="N71" s="146"/>
      <c r="O71" s="146"/>
      <c r="P71" s="146"/>
      <c r="Q71" s="146"/>
      <c r="R71" s="146"/>
    </row>
    <row r="72" spans="1:18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6"/>
      <c r="M72" s="146"/>
      <c r="N72" s="146"/>
      <c r="O72" s="146"/>
      <c r="P72" s="146"/>
      <c r="Q72" s="146"/>
      <c r="R72" s="146"/>
    </row>
    <row r="73" spans="1:18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6"/>
      <c r="M73" s="146"/>
      <c r="N73" s="146"/>
      <c r="O73" s="146"/>
      <c r="P73" s="146"/>
      <c r="Q73" s="146"/>
      <c r="R73" s="146"/>
    </row>
    <row r="74" spans="1:18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6"/>
      <c r="M74" s="146"/>
      <c r="N74" s="146"/>
      <c r="O74" s="146"/>
      <c r="P74" s="146"/>
      <c r="Q74" s="146"/>
      <c r="R74" s="146"/>
    </row>
    <row r="75" spans="1:18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6"/>
      <c r="M75" s="146"/>
      <c r="N75" s="146"/>
      <c r="O75" s="146"/>
      <c r="P75" s="146"/>
      <c r="Q75" s="146"/>
      <c r="R75" s="146"/>
    </row>
    <row r="76" spans="1:18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6"/>
      <c r="M76" s="146"/>
      <c r="N76" s="146"/>
      <c r="O76" s="146"/>
      <c r="P76" s="146"/>
      <c r="Q76" s="146"/>
      <c r="R76" s="146"/>
    </row>
    <row r="77" spans="1:18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6"/>
      <c r="M77" s="146"/>
      <c r="N77" s="146"/>
      <c r="O77" s="146"/>
      <c r="P77" s="146"/>
      <c r="Q77" s="146"/>
      <c r="R77" s="146"/>
    </row>
    <row r="78" spans="1:18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6"/>
      <c r="M78" s="146"/>
      <c r="N78" s="146"/>
      <c r="O78" s="146"/>
      <c r="P78" s="146"/>
      <c r="Q78" s="146"/>
      <c r="R78" s="146"/>
    </row>
    <row r="79" spans="1:18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6"/>
      <c r="M79" s="146"/>
      <c r="N79" s="146"/>
      <c r="O79" s="146"/>
      <c r="P79" s="146"/>
      <c r="Q79" s="146"/>
      <c r="R79" s="146"/>
    </row>
    <row r="80" spans="1:18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6"/>
      <c r="M80" s="146"/>
      <c r="N80" s="146"/>
      <c r="O80" s="146"/>
      <c r="P80" s="146"/>
      <c r="Q80" s="146"/>
      <c r="R80" s="146"/>
    </row>
    <row r="81" spans="1:18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6"/>
      <c r="M81" s="146"/>
      <c r="N81" s="146"/>
      <c r="O81" s="146"/>
      <c r="P81" s="146"/>
      <c r="Q81" s="146"/>
      <c r="R81" s="146"/>
    </row>
    <row r="82" spans="1:18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6"/>
      <c r="M82" s="146"/>
      <c r="N82" s="146"/>
      <c r="O82" s="146"/>
      <c r="P82" s="146"/>
      <c r="Q82" s="146"/>
      <c r="R82" s="146"/>
    </row>
    <row r="83" spans="1:18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6"/>
      <c r="M83" s="146"/>
      <c r="N83" s="146"/>
      <c r="O83" s="146"/>
      <c r="P83" s="146"/>
      <c r="Q83" s="146"/>
      <c r="R83" s="146"/>
    </row>
    <row r="84" spans="1:18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6"/>
      <c r="M84" s="146"/>
      <c r="N84" s="146"/>
      <c r="O84" s="146"/>
      <c r="P84" s="146"/>
      <c r="Q84" s="146"/>
      <c r="R84" s="146"/>
    </row>
    <row r="85" spans="1:18">
      <c r="A85" s="147"/>
      <c r="B85" s="147"/>
      <c r="C85" s="147"/>
      <c r="D85" s="147"/>
      <c r="E85" s="148"/>
      <c r="F85" s="145"/>
      <c r="G85" s="145"/>
      <c r="H85" s="145"/>
      <c r="I85" s="145"/>
      <c r="J85" s="145"/>
      <c r="K85" s="145"/>
      <c r="L85" s="146"/>
      <c r="M85" s="146"/>
      <c r="N85" s="146"/>
      <c r="O85" s="146"/>
      <c r="P85" s="146"/>
      <c r="Q85" s="146"/>
      <c r="R85" s="146"/>
    </row>
    <row r="86" spans="1:18">
      <c r="A86" s="147"/>
      <c r="B86" s="147"/>
      <c r="C86" s="147"/>
      <c r="D86" s="147"/>
      <c r="E86" s="148"/>
      <c r="F86" s="145"/>
      <c r="G86" s="145"/>
      <c r="H86" s="145"/>
      <c r="I86" s="145"/>
      <c r="J86" s="145"/>
      <c r="K86" s="145"/>
      <c r="L86" s="146"/>
      <c r="M86" s="146"/>
      <c r="N86" s="146"/>
      <c r="O86" s="146"/>
      <c r="P86" s="146"/>
      <c r="Q86" s="146"/>
      <c r="R86" s="146"/>
    </row>
    <row r="87" spans="1:18">
      <c r="A87" s="147"/>
      <c r="B87" s="147"/>
      <c r="C87" s="147"/>
      <c r="D87" s="147"/>
      <c r="E87" s="148"/>
      <c r="F87" s="145"/>
      <c r="G87" s="145"/>
      <c r="H87" s="145"/>
      <c r="I87" s="145"/>
      <c r="J87" s="145"/>
      <c r="K87" s="145"/>
      <c r="L87" s="146"/>
      <c r="M87" s="146"/>
      <c r="N87" s="146"/>
      <c r="O87" s="146"/>
      <c r="P87" s="146"/>
      <c r="Q87" s="146"/>
      <c r="R87" s="146"/>
    </row>
    <row r="88" spans="1:18">
      <c r="A88" s="147"/>
      <c r="B88" s="147"/>
      <c r="C88" s="147"/>
      <c r="D88" s="147"/>
      <c r="E88" s="148"/>
      <c r="F88" s="145"/>
      <c r="G88" s="145"/>
      <c r="H88" s="145"/>
      <c r="I88" s="145"/>
      <c r="J88" s="145"/>
      <c r="K88" s="145"/>
      <c r="L88" s="146"/>
      <c r="M88" s="146"/>
      <c r="N88" s="146"/>
      <c r="O88" s="146"/>
      <c r="P88" s="146"/>
      <c r="Q88" s="146"/>
      <c r="R88" s="146"/>
    </row>
    <row r="89" spans="1:18">
      <c r="A89" s="147"/>
      <c r="B89" s="147"/>
      <c r="C89" s="147"/>
      <c r="D89" s="147"/>
      <c r="E89" s="148"/>
      <c r="F89" s="145"/>
      <c r="G89" s="145"/>
      <c r="H89" s="145"/>
      <c r="I89" s="145"/>
      <c r="J89" s="145"/>
      <c r="K89" s="145"/>
      <c r="L89" s="146"/>
      <c r="M89" s="146"/>
      <c r="N89" s="146"/>
      <c r="O89" s="146"/>
      <c r="P89" s="146"/>
      <c r="Q89" s="146"/>
      <c r="R89" s="146"/>
    </row>
    <row r="90" spans="1:18">
      <c r="A90" s="147"/>
      <c r="B90" s="147"/>
      <c r="C90" s="147"/>
      <c r="D90" s="147"/>
      <c r="E90" s="148"/>
      <c r="F90" s="145"/>
      <c r="G90" s="145"/>
      <c r="H90" s="145"/>
      <c r="I90" s="145"/>
      <c r="J90" s="145"/>
      <c r="K90" s="145"/>
      <c r="L90" s="146"/>
      <c r="M90" s="146"/>
      <c r="N90" s="146"/>
      <c r="O90" s="146"/>
      <c r="P90" s="146"/>
      <c r="Q90" s="146"/>
      <c r="R90" s="146"/>
    </row>
    <row r="91" spans="1:18">
      <c r="A91" s="147"/>
      <c r="B91" s="147"/>
      <c r="C91" s="147"/>
      <c r="D91" s="147"/>
      <c r="E91" s="148"/>
      <c r="F91" s="145"/>
      <c r="G91" s="145"/>
      <c r="H91" s="145"/>
      <c r="I91" s="145"/>
      <c r="J91" s="145"/>
      <c r="K91" s="145"/>
      <c r="L91" s="146"/>
      <c r="M91" s="146"/>
      <c r="N91" s="146"/>
      <c r="O91" s="146"/>
      <c r="P91" s="146"/>
      <c r="Q91" s="146"/>
      <c r="R91" s="146"/>
    </row>
    <row r="92" spans="1:18">
      <c r="A92" s="147"/>
      <c r="B92" s="147"/>
      <c r="C92" s="147"/>
      <c r="D92" s="147"/>
      <c r="E92" s="148"/>
      <c r="F92" s="145"/>
      <c r="G92" s="145"/>
      <c r="H92" s="145"/>
      <c r="I92" s="145"/>
      <c r="J92" s="145"/>
      <c r="K92" s="145"/>
      <c r="L92" s="146"/>
      <c r="M92" s="146"/>
      <c r="N92" s="146"/>
      <c r="O92" s="146"/>
      <c r="P92" s="146"/>
      <c r="Q92" s="146"/>
      <c r="R92" s="146"/>
    </row>
    <row r="93" spans="1:18">
      <c r="A93" s="147"/>
      <c r="B93" s="147"/>
      <c r="C93" s="147"/>
      <c r="D93" s="147"/>
      <c r="E93" s="148"/>
      <c r="F93" s="145"/>
      <c r="G93" s="145"/>
      <c r="H93" s="145"/>
      <c r="I93" s="145"/>
      <c r="J93" s="145"/>
      <c r="K93" s="145"/>
      <c r="L93" s="146"/>
      <c r="M93" s="146"/>
      <c r="N93" s="146"/>
      <c r="O93" s="146"/>
      <c r="P93" s="146"/>
      <c r="Q93" s="146"/>
      <c r="R93" s="146"/>
    </row>
    <row r="94" spans="1:18">
      <c r="A94" s="147"/>
      <c r="B94" s="147"/>
      <c r="C94" s="147"/>
      <c r="D94" s="147"/>
      <c r="E94" s="148"/>
      <c r="F94" s="145"/>
      <c r="G94" s="145"/>
      <c r="H94" s="145"/>
      <c r="I94" s="145"/>
      <c r="J94" s="145"/>
      <c r="K94" s="145"/>
      <c r="L94" s="146"/>
      <c r="M94" s="146"/>
      <c r="N94" s="146"/>
      <c r="O94" s="146"/>
      <c r="P94" s="146"/>
      <c r="Q94" s="146"/>
      <c r="R94" s="146"/>
    </row>
    <row r="95" spans="1:18">
      <c r="A95" s="147"/>
      <c r="B95" s="147"/>
      <c r="C95" s="147"/>
      <c r="D95" s="147"/>
      <c r="E95" s="148"/>
      <c r="F95" s="145"/>
      <c r="G95" s="145"/>
      <c r="H95" s="145"/>
      <c r="I95" s="145"/>
      <c r="J95" s="145"/>
      <c r="K95" s="145"/>
      <c r="L95" s="146"/>
      <c r="M95" s="146"/>
      <c r="N95" s="146"/>
      <c r="O95" s="146"/>
      <c r="P95" s="146"/>
      <c r="Q95" s="146"/>
      <c r="R95" s="146"/>
    </row>
    <row r="96" spans="1:18">
      <c r="A96" s="147"/>
      <c r="B96" s="147"/>
      <c r="C96" s="147"/>
      <c r="D96" s="147"/>
      <c r="E96" s="148"/>
      <c r="F96" s="145"/>
      <c r="G96" s="145"/>
      <c r="H96" s="145"/>
      <c r="I96" s="145"/>
      <c r="J96" s="145"/>
      <c r="K96" s="145"/>
      <c r="L96" s="146"/>
      <c r="M96" s="146"/>
      <c r="N96" s="146"/>
      <c r="O96" s="146"/>
      <c r="P96" s="146"/>
      <c r="Q96" s="146"/>
      <c r="R96" s="146"/>
    </row>
    <row r="97" spans="1:18">
      <c r="A97" s="147"/>
      <c r="B97" s="147"/>
      <c r="C97" s="147"/>
      <c r="D97" s="147"/>
      <c r="E97" s="148"/>
      <c r="F97" s="145"/>
      <c r="G97" s="145"/>
      <c r="H97" s="145"/>
      <c r="I97" s="145"/>
      <c r="J97" s="145"/>
      <c r="K97" s="145"/>
      <c r="L97" s="146"/>
      <c r="M97" s="146"/>
      <c r="N97" s="146"/>
      <c r="O97" s="146"/>
      <c r="P97" s="146"/>
      <c r="Q97" s="146"/>
      <c r="R97" s="146"/>
    </row>
    <row r="98" spans="1:18">
      <c r="A98" s="147"/>
      <c r="B98" s="147"/>
      <c r="C98" s="147"/>
      <c r="D98" s="147"/>
      <c r="E98" s="148"/>
      <c r="F98" s="145"/>
      <c r="G98" s="145"/>
      <c r="H98" s="145"/>
      <c r="I98" s="145"/>
      <c r="J98" s="145"/>
      <c r="K98" s="145"/>
      <c r="L98" s="146"/>
      <c r="M98" s="146"/>
      <c r="N98" s="146"/>
      <c r="O98" s="146"/>
      <c r="P98" s="146"/>
      <c r="Q98" s="146"/>
      <c r="R98" s="146"/>
    </row>
    <row r="99" spans="1:18">
      <c r="A99" s="147"/>
      <c r="B99" s="147"/>
      <c r="C99" s="147"/>
      <c r="D99" s="147"/>
      <c r="E99" s="148"/>
      <c r="F99" s="145"/>
      <c r="G99" s="145"/>
      <c r="H99" s="145"/>
      <c r="I99" s="145"/>
      <c r="J99" s="145"/>
      <c r="K99" s="145"/>
      <c r="L99" s="146"/>
      <c r="M99" s="146"/>
      <c r="N99" s="146"/>
      <c r="O99" s="146"/>
      <c r="P99" s="146"/>
      <c r="Q99" s="146"/>
      <c r="R99" s="146"/>
    </row>
    <row r="100" spans="1:18">
      <c r="A100" s="147"/>
      <c r="B100" s="147"/>
      <c r="C100" s="147"/>
      <c r="D100" s="147"/>
      <c r="E100" s="148"/>
      <c r="F100" s="145"/>
      <c r="G100" s="145"/>
      <c r="H100" s="145"/>
      <c r="I100" s="145"/>
      <c r="J100" s="145"/>
      <c r="K100" s="145"/>
      <c r="L100" s="146"/>
      <c r="M100" s="146"/>
      <c r="N100" s="146"/>
      <c r="O100" s="146"/>
      <c r="P100" s="146"/>
      <c r="Q100" s="146"/>
      <c r="R100" s="146"/>
    </row>
    <row r="101" spans="1:18">
      <c r="A101" s="147"/>
      <c r="B101" s="147"/>
      <c r="C101" s="147"/>
      <c r="D101" s="147"/>
      <c r="E101" s="54"/>
      <c r="F101" s="149"/>
      <c r="G101" s="149"/>
      <c r="H101" s="149"/>
      <c r="I101" s="149"/>
      <c r="J101" s="145"/>
      <c r="K101" s="145"/>
      <c r="L101" s="146"/>
      <c r="M101" s="146"/>
      <c r="N101" s="146"/>
      <c r="O101" s="146"/>
      <c r="P101" s="146"/>
      <c r="Q101" s="146"/>
      <c r="R101" s="146"/>
    </row>
    <row r="102" spans="1:18">
      <c r="A102" s="147"/>
      <c r="B102" s="147"/>
      <c r="C102" s="147"/>
      <c r="D102" s="147"/>
      <c r="E102" s="143"/>
      <c r="F102" s="144"/>
      <c r="G102" s="144"/>
      <c r="H102" s="144"/>
      <c r="I102" s="144"/>
      <c r="J102" s="145"/>
      <c r="K102" s="145"/>
      <c r="L102" s="146"/>
      <c r="M102" s="146"/>
      <c r="N102" s="146"/>
      <c r="O102" s="146"/>
      <c r="P102" s="146"/>
      <c r="Q102" s="146"/>
      <c r="R102" s="146"/>
    </row>
    <row r="103" spans="1:18">
      <c r="A103" s="147"/>
      <c r="B103" s="147"/>
      <c r="C103" s="147"/>
      <c r="D103" s="147"/>
      <c r="E103" s="143"/>
      <c r="F103" s="144"/>
      <c r="G103" s="144"/>
      <c r="H103" s="144"/>
      <c r="I103" s="144"/>
      <c r="J103" s="145"/>
      <c r="K103" s="145"/>
      <c r="L103" s="146"/>
      <c r="M103" s="146"/>
      <c r="N103" s="146"/>
      <c r="O103" s="146"/>
      <c r="P103" s="146"/>
      <c r="Q103" s="146"/>
      <c r="R103" s="146"/>
    </row>
    <row r="104" spans="1:18">
      <c r="A104" s="147"/>
      <c r="B104" s="147"/>
      <c r="C104" s="147"/>
      <c r="D104" s="147"/>
      <c r="E104" s="143"/>
      <c r="F104" s="144"/>
      <c r="G104" s="144"/>
      <c r="H104" s="144"/>
      <c r="I104" s="144"/>
      <c r="J104" s="145"/>
      <c r="K104" s="145"/>
      <c r="L104" s="146"/>
      <c r="M104" s="146"/>
      <c r="N104" s="146"/>
      <c r="O104" s="146"/>
      <c r="P104" s="146"/>
      <c r="Q104" s="146"/>
      <c r="R104" s="146"/>
    </row>
    <row r="105" spans="1:18">
      <c r="A105" s="147"/>
      <c r="B105" s="147"/>
      <c r="C105" s="147"/>
      <c r="D105" s="147"/>
      <c r="E105" s="143"/>
      <c r="F105" s="144"/>
      <c r="G105" s="144"/>
      <c r="H105" s="144"/>
      <c r="I105" s="144"/>
      <c r="J105" s="145"/>
      <c r="K105" s="145"/>
      <c r="L105" s="146"/>
      <c r="M105" s="146"/>
      <c r="N105" s="146"/>
      <c r="O105" s="146"/>
      <c r="P105" s="146"/>
      <c r="Q105" s="146"/>
      <c r="R105" s="146"/>
    </row>
    <row r="106" spans="1:18">
      <c r="A106" s="147"/>
      <c r="B106" s="147"/>
      <c r="C106" s="147"/>
      <c r="D106" s="147"/>
      <c r="E106" s="143"/>
      <c r="F106" s="144"/>
      <c r="G106" s="144"/>
      <c r="H106" s="144"/>
      <c r="I106" s="144"/>
      <c r="J106" s="145"/>
      <c r="K106" s="145"/>
      <c r="L106" s="146"/>
      <c r="M106" s="146"/>
      <c r="N106" s="146"/>
      <c r="O106" s="146"/>
      <c r="P106" s="146"/>
      <c r="Q106" s="146"/>
      <c r="R106" s="146"/>
    </row>
    <row r="107" spans="1:18">
      <c r="A107" s="147"/>
      <c r="B107" s="147"/>
      <c r="C107" s="147"/>
      <c r="D107" s="147"/>
      <c r="E107" s="143"/>
      <c r="F107" s="144"/>
      <c r="G107" s="144"/>
      <c r="H107" s="144"/>
      <c r="I107" s="144"/>
      <c r="J107" s="145"/>
      <c r="K107" s="145"/>
      <c r="L107" s="146"/>
      <c r="M107" s="146"/>
      <c r="N107" s="146"/>
      <c r="O107" s="146"/>
      <c r="P107" s="146"/>
      <c r="Q107" s="146"/>
      <c r="R107" s="146"/>
    </row>
    <row r="108" spans="1:18">
      <c r="A108" s="147"/>
      <c r="B108" s="147"/>
      <c r="C108" s="147"/>
      <c r="D108" s="147"/>
      <c r="E108" s="143"/>
      <c r="F108" s="144"/>
      <c r="G108" s="144"/>
      <c r="H108" s="144"/>
      <c r="I108" s="144"/>
      <c r="J108" s="145"/>
      <c r="K108" s="145"/>
      <c r="L108" s="146"/>
      <c r="M108" s="146"/>
      <c r="N108" s="146"/>
      <c r="O108" s="146"/>
      <c r="P108" s="146"/>
      <c r="Q108" s="146"/>
      <c r="R108" s="146"/>
    </row>
    <row r="109" spans="1:18">
      <c r="A109" s="147"/>
      <c r="B109" s="147"/>
      <c r="C109" s="147"/>
      <c r="D109" s="147"/>
      <c r="E109" s="143"/>
      <c r="F109" s="144"/>
      <c r="G109" s="144"/>
      <c r="H109" s="144"/>
      <c r="I109" s="144"/>
      <c r="J109" s="145"/>
      <c r="K109" s="145"/>
      <c r="L109" s="146"/>
      <c r="M109" s="146"/>
      <c r="N109" s="146"/>
      <c r="O109" s="146"/>
      <c r="P109" s="146"/>
      <c r="Q109" s="146"/>
      <c r="R109" s="146"/>
    </row>
    <row r="110" spans="1:18">
      <c r="A110" s="147"/>
      <c r="B110" s="147"/>
      <c r="C110" s="147"/>
      <c r="D110" s="147"/>
      <c r="E110" s="143"/>
      <c r="F110" s="144"/>
      <c r="G110" s="144"/>
      <c r="H110" s="144"/>
      <c r="I110" s="144"/>
      <c r="J110" s="145"/>
      <c r="K110" s="145"/>
      <c r="L110" s="146"/>
      <c r="M110" s="146"/>
      <c r="N110" s="146"/>
      <c r="O110" s="146"/>
      <c r="P110" s="146"/>
      <c r="Q110" s="146"/>
      <c r="R110" s="146"/>
    </row>
    <row r="111" spans="1:18">
      <c r="A111" s="147"/>
      <c r="B111" s="147"/>
      <c r="C111" s="147"/>
      <c r="D111" s="147"/>
      <c r="E111" s="143"/>
      <c r="F111" s="144"/>
      <c r="G111" s="144"/>
      <c r="H111" s="144"/>
      <c r="I111" s="144"/>
      <c r="J111" s="145"/>
      <c r="K111" s="145"/>
      <c r="L111" s="146"/>
      <c r="M111" s="146"/>
      <c r="N111" s="146"/>
      <c r="O111" s="146"/>
      <c r="P111" s="146"/>
      <c r="Q111" s="146"/>
      <c r="R111" s="146"/>
    </row>
    <row r="112" spans="1:18">
      <c r="A112" s="147"/>
      <c r="B112" s="147"/>
      <c r="C112" s="147"/>
      <c r="D112" s="147"/>
      <c r="E112" s="143"/>
      <c r="F112" s="144"/>
      <c r="G112" s="144"/>
      <c r="H112" s="144"/>
      <c r="I112" s="144"/>
      <c r="J112" s="145"/>
      <c r="K112" s="145"/>
      <c r="L112" s="146"/>
      <c r="M112" s="146"/>
      <c r="N112" s="146"/>
      <c r="O112" s="146"/>
      <c r="P112" s="146"/>
      <c r="Q112" s="146"/>
      <c r="R112" s="146"/>
    </row>
    <row r="113" spans="1:18">
      <c r="A113" s="147"/>
      <c r="B113" s="147"/>
      <c r="C113" s="147"/>
      <c r="D113" s="147"/>
      <c r="E113" s="143"/>
      <c r="F113" s="144"/>
      <c r="G113" s="144"/>
      <c r="H113" s="144"/>
      <c r="I113" s="144"/>
      <c r="J113" s="145"/>
      <c r="K113" s="145"/>
      <c r="L113" s="146"/>
      <c r="M113" s="146"/>
      <c r="N113" s="146"/>
      <c r="O113" s="146"/>
      <c r="P113" s="146"/>
      <c r="Q113" s="146"/>
      <c r="R113" s="146"/>
    </row>
    <row r="114" spans="1:18">
      <c r="A114" s="147"/>
      <c r="B114" s="147"/>
      <c r="C114" s="147"/>
      <c r="D114" s="147"/>
      <c r="E114" s="143"/>
      <c r="F114" s="144"/>
      <c r="G114" s="144"/>
      <c r="H114" s="144"/>
      <c r="I114" s="144"/>
      <c r="J114" s="145"/>
      <c r="K114" s="145"/>
      <c r="L114" s="146"/>
      <c r="M114" s="146"/>
      <c r="N114" s="146"/>
      <c r="O114" s="146"/>
      <c r="P114" s="146"/>
      <c r="Q114" s="146"/>
      <c r="R114" s="146"/>
    </row>
    <row r="115" spans="1:18">
      <c r="A115" s="147"/>
      <c r="B115" s="147"/>
      <c r="C115" s="147"/>
      <c r="D115" s="147"/>
      <c r="E115" s="143"/>
      <c r="F115" s="144"/>
      <c r="G115" s="144"/>
      <c r="H115" s="144"/>
      <c r="I115" s="144"/>
      <c r="J115" s="145"/>
      <c r="K115" s="145"/>
      <c r="L115" s="146"/>
      <c r="M115" s="146"/>
      <c r="N115" s="146"/>
      <c r="O115" s="146"/>
      <c r="P115" s="146"/>
      <c r="Q115" s="146"/>
      <c r="R115" s="146"/>
    </row>
    <row r="116" spans="1:18">
      <c r="A116" s="147"/>
      <c r="B116" s="147"/>
      <c r="C116" s="147"/>
      <c r="D116" s="147"/>
      <c r="E116" s="143"/>
      <c r="F116" s="144"/>
      <c r="G116" s="144"/>
      <c r="H116" s="144"/>
      <c r="I116" s="144"/>
      <c r="J116" s="145"/>
      <c r="K116" s="145"/>
      <c r="L116" s="146"/>
      <c r="M116" s="146"/>
      <c r="N116" s="146"/>
      <c r="O116" s="146"/>
      <c r="P116" s="146"/>
      <c r="Q116" s="146"/>
      <c r="R116" s="146"/>
    </row>
    <row r="117" spans="1:18">
      <c r="A117" s="147"/>
      <c r="B117" s="147"/>
      <c r="C117" s="147"/>
      <c r="D117" s="147"/>
      <c r="E117" s="143"/>
      <c r="F117" s="144"/>
      <c r="G117" s="144"/>
      <c r="H117" s="144"/>
      <c r="I117" s="144"/>
      <c r="J117" s="145"/>
      <c r="K117" s="145"/>
      <c r="L117" s="146"/>
      <c r="M117" s="146"/>
      <c r="N117" s="146"/>
      <c r="O117" s="146"/>
      <c r="P117" s="146"/>
      <c r="Q117" s="146"/>
      <c r="R117" s="146"/>
    </row>
    <row r="118" spans="1:18">
      <c r="A118" s="147"/>
      <c r="B118" s="147"/>
      <c r="C118" s="147"/>
      <c r="D118" s="147"/>
      <c r="E118" s="143"/>
      <c r="F118" s="144"/>
      <c r="G118" s="144"/>
      <c r="H118" s="144"/>
      <c r="I118" s="144"/>
      <c r="J118" s="145"/>
      <c r="K118" s="145"/>
      <c r="L118" s="146"/>
      <c r="M118" s="146"/>
      <c r="N118" s="146"/>
      <c r="O118" s="146"/>
      <c r="P118" s="146"/>
      <c r="Q118" s="146"/>
      <c r="R118" s="146"/>
    </row>
    <row r="119" spans="1:18">
      <c r="A119" s="147"/>
      <c r="B119" s="147"/>
      <c r="C119" s="147"/>
      <c r="D119" s="147"/>
      <c r="E119" s="143"/>
      <c r="F119" s="144"/>
      <c r="G119" s="144"/>
      <c r="H119" s="144"/>
      <c r="I119" s="144"/>
      <c r="J119" s="145"/>
      <c r="K119" s="145"/>
      <c r="L119" s="146"/>
      <c r="M119" s="146"/>
      <c r="N119" s="146"/>
      <c r="O119" s="146"/>
      <c r="P119" s="146"/>
      <c r="Q119" s="146"/>
      <c r="R119" s="146"/>
    </row>
    <row r="120" spans="1:18">
      <c r="A120" s="147"/>
      <c r="B120" s="147"/>
      <c r="C120" s="147"/>
      <c r="D120" s="147"/>
      <c r="E120" s="143"/>
      <c r="F120" s="144"/>
      <c r="G120" s="144"/>
      <c r="H120" s="144"/>
      <c r="I120" s="144"/>
      <c r="J120" s="145"/>
      <c r="K120" s="145"/>
      <c r="L120" s="146"/>
      <c r="M120" s="146"/>
      <c r="N120" s="146"/>
      <c r="O120" s="146"/>
      <c r="P120" s="146"/>
      <c r="Q120" s="146"/>
      <c r="R120" s="146"/>
    </row>
    <row r="121" spans="1:18">
      <c r="A121" s="150"/>
      <c r="B121" s="150"/>
      <c r="C121" s="150"/>
      <c r="D121" s="150"/>
      <c r="E121" s="151"/>
      <c r="F121" s="152"/>
      <c r="G121" s="152"/>
      <c r="H121" s="152"/>
      <c r="I121" s="152"/>
      <c r="J121" s="146"/>
      <c r="K121" s="146"/>
      <c r="L121" s="146"/>
      <c r="M121" s="146"/>
      <c r="N121" s="146"/>
      <c r="O121" s="146"/>
      <c r="P121" s="146"/>
      <c r="Q121" s="146"/>
      <c r="R121" s="146"/>
    </row>
    <row r="122" spans="1:18">
      <c r="A122" s="150"/>
      <c r="B122" s="150"/>
      <c r="C122" s="150"/>
      <c r="D122" s="150"/>
      <c r="E122" s="151"/>
      <c r="F122" s="152"/>
      <c r="G122" s="152"/>
      <c r="H122" s="152"/>
      <c r="I122" s="152"/>
      <c r="J122" s="146"/>
      <c r="K122" s="146"/>
      <c r="L122" s="146"/>
      <c r="M122" s="146"/>
      <c r="N122" s="146"/>
      <c r="O122" s="146"/>
      <c r="P122" s="146"/>
      <c r="Q122" s="146"/>
      <c r="R122" s="146"/>
    </row>
    <row r="123" spans="1:18">
      <c r="A123" s="150"/>
      <c r="B123" s="150"/>
      <c r="C123" s="150"/>
      <c r="D123" s="150"/>
      <c r="E123" s="151"/>
      <c r="F123" s="152"/>
      <c r="G123" s="152"/>
      <c r="H123" s="152"/>
      <c r="I123" s="152"/>
      <c r="J123" s="146"/>
      <c r="K123" s="146"/>
      <c r="L123" s="146"/>
      <c r="M123" s="146"/>
      <c r="N123" s="146"/>
      <c r="O123" s="146"/>
      <c r="P123" s="146"/>
      <c r="Q123" s="146"/>
      <c r="R123" s="146"/>
    </row>
    <row r="124" spans="1:18">
      <c r="A124" s="150"/>
      <c r="B124" s="150"/>
      <c r="C124" s="150"/>
      <c r="D124" s="150"/>
      <c r="E124" s="151"/>
      <c r="F124" s="152"/>
      <c r="G124" s="152"/>
      <c r="H124" s="152"/>
      <c r="I124" s="152"/>
      <c r="J124" s="146"/>
      <c r="K124" s="146"/>
      <c r="L124" s="146"/>
      <c r="M124" s="146"/>
      <c r="N124" s="146"/>
      <c r="O124" s="146"/>
      <c r="P124" s="146"/>
      <c r="Q124" s="146"/>
      <c r="R124" s="146"/>
    </row>
    <row r="125" spans="1:18">
      <c r="A125" s="150"/>
      <c r="B125" s="150"/>
      <c r="C125" s="150"/>
      <c r="D125" s="150"/>
      <c r="E125" s="151"/>
      <c r="F125" s="152"/>
      <c r="G125" s="152"/>
      <c r="H125" s="152"/>
      <c r="I125" s="152"/>
      <c r="J125" s="146"/>
      <c r="K125" s="146"/>
      <c r="L125" s="146"/>
      <c r="M125" s="146"/>
      <c r="N125" s="146"/>
      <c r="O125" s="146"/>
      <c r="P125" s="146"/>
      <c r="Q125" s="146"/>
      <c r="R125" s="146"/>
    </row>
    <row r="126" spans="1:18">
      <c r="A126" s="150"/>
      <c r="B126" s="150"/>
      <c r="C126" s="150"/>
      <c r="D126" s="150"/>
      <c r="E126" s="151"/>
      <c r="F126" s="152"/>
      <c r="G126" s="152"/>
      <c r="H126" s="152"/>
      <c r="I126" s="152"/>
      <c r="J126" s="146"/>
      <c r="K126" s="146"/>
      <c r="L126" s="146"/>
      <c r="M126" s="146"/>
      <c r="N126" s="146"/>
      <c r="O126" s="146"/>
      <c r="P126" s="146"/>
      <c r="Q126" s="146"/>
      <c r="R126" s="146"/>
    </row>
    <row r="127" spans="1:18">
      <c r="A127" s="150"/>
      <c r="B127" s="150"/>
      <c r="C127" s="150"/>
      <c r="D127" s="150"/>
      <c r="E127" s="151"/>
      <c r="F127" s="152"/>
      <c r="G127" s="152"/>
      <c r="H127" s="152"/>
      <c r="I127" s="152"/>
      <c r="J127" s="146"/>
      <c r="K127" s="146"/>
      <c r="L127" s="146"/>
      <c r="M127" s="146"/>
      <c r="N127" s="146"/>
      <c r="O127" s="146"/>
      <c r="P127" s="146"/>
      <c r="Q127" s="146"/>
      <c r="R127" s="146"/>
    </row>
    <row r="128" spans="1:18">
      <c r="A128" s="150"/>
      <c r="B128" s="150"/>
      <c r="C128" s="150"/>
      <c r="D128" s="150"/>
      <c r="E128" s="151"/>
      <c r="F128" s="152"/>
      <c r="G128" s="152"/>
      <c r="H128" s="152"/>
      <c r="I128" s="152"/>
      <c r="J128" s="146"/>
      <c r="K128" s="146"/>
      <c r="L128" s="146"/>
      <c r="M128" s="146"/>
      <c r="N128" s="146"/>
      <c r="O128" s="146"/>
      <c r="P128" s="146"/>
      <c r="Q128" s="146"/>
      <c r="R128" s="146"/>
    </row>
    <row r="129" spans="1:18">
      <c r="A129" s="150"/>
      <c r="B129" s="150"/>
      <c r="C129" s="150"/>
      <c r="D129" s="150"/>
      <c r="E129" s="151"/>
      <c r="F129" s="152"/>
      <c r="G129" s="152"/>
      <c r="H129" s="152"/>
      <c r="I129" s="152"/>
      <c r="J129" s="146"/>
      <c r="K129" s="146"/>
      <c r="L129" s="146"/>
      <c r="M129" s="146"/>
      <c r="N129" s="146"/>
      <c r="O129" s="146"/>
      <c r="P129" s="146"/>
      <c r="Q129" s="146"/>
      <c r="R129" s="146"/>
    </row>
    <row r="130" spans="1:18">
      <c r="A130" s="150"/>
      <c r="B130" s="150"/>
      <c r="C130" s="150"/>
      <c r="D130" s="150"/>
      <c r="E130" s="151"/>
      <c r="F130" s="152"/>
      <c r="G130" s="152"/>
      <c r="H130" s="152"/>
      <c r="I130" s="152"/>
      <c r="J130" s="146"/>
      <c r="K130" s="146"/>
      <c r="L130" s="146"/>
      <c r="M130" s="146"/>
      <c r="N130" s="146"/>
      <c r="O130" s="146"/>
      <c r="P130" s="146"/>
      <c r="Q130" s="146"/>
      <c r="R130" s="146"/>
    </row>
    <row r="131" spans="1:18">
      <c r="A131" s="150"/>
      <c r="B131" s="150"/>
      <c r="C131" s="150"/>
      <c r="D131" s="150"/>
      <c r="E131" s="151"/>
      <c r="F131" s="152"/>
      <c r="G131" s="152"/>
      <c r="H131" s="152"/>
      <c r="I131" s="152"/>
      <c r="J131" s="146"/>
      <c r="K131" s="146"/>
      <c r="L131" s="146"/>
      <c r="M131" s="146"/>
      <c r="N131" s="146"/>
      <c r="O131" s="146"/>
      <c r="P131" s="146"/>
      <c r="Q131" s="146"/>
      <c r="R131" s="146"/>
    </row>
    <row r="132" spans="1:18">
      <c r="F132" s="153"/>
      <c r="G132" s="153"/>
      <c r="H132" s="153"/>
    </row>
    <row r="133" spans="1:18">
      <c r="F133" s="153"/>
      <c r="G133" s="153"/>
      <c r="H133" s="153"/>
    </row>
  </sheetData>
  <mergeCells count="12">
    <mergeCell ref="H11:H12"/>
    <mergeCell ref="I11:J11"/>
    <mergeCell ref="C1:C4"/>
    <mergeCell ref="D2:F2"/>
    <mergeCell ref="E3:F6"/>
    <mergeCell ref="E10:G10"/>
    <mergeCell ref="A11:A12"/>
    <mergeCell ref="B11:B12"/>
    <mergeCell ref="C11:C12"/>
    <mergeCell ref="D11:D12"/>
    <mergeCell ref="E11:E12"/>
    <mergeCell ref="F11:G11"/>
  </mergeCells>
  <dataValidations count="2">
    <dataValidation type="decimal" allowBlank="1" showInputMessage="1" showErrorMessage="1" sqref="D24:D27 D14:D22 E14:J27 E28 H28" xr:uid="{34AC7093-2A47-4AE5-A232-F5EC1C8C61E2}">
      <formula1>-9999999999999</formula1>
      <formula2>9999999999999</formula2>
    </dataValidation>
    <dataValidation type="decimal" allowBlank="1" showInputMessage="1" showErrorMessage="1" sqref="C14:C27 D23" xr:uid="{8FCC9D1C-EFB9-49AE-9A2F-56FF30ABA30C}">
      <formula1>0</formula1>
      <formula2>9999999999999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5938-0737-4472-A17C-F290BFAB20F6}">
  <dimension ref="A1:H29"/>
  <sheetViews>
    <sheetView workbookViewId="0">
      <selection activeCell="B39" sqref="B39"/>
    </sheetView>
  </sheetViews>
  <sheetFormatPr defaultColWidth="64" defaultRowHeight="12.75"/>
  <cols>
    <col min="1" max="1" width="5.140625" style="172" bestFit="1" customWidth="1"/>
    <col min="2" max="2" width="58.85546875" style="157" customWidth="1"/>
    <col min="3" max="3" width="24.140625" style="157" customWidth="1"/>
    <col min="4" max="4" width="18.140625" style="157" bestFit="1" customWidth="1"/>
    <col min="5" max="254" width="9.140625" style="157" customWidth="1"/>
    <col min="255" max="255" width="5.140625" style="157" bestFit="1" customWidth="1"/>
    <col min="256" max="16384" width="64" style="157"/>
  </cols>
  <sheetData>
    <row r="1" spans="1:8">
      <c r="A1" s="154"/>
      <c r="B1" s="155"/>
      <c r="C1" s="156"/>
    </row>
    <row r="2" spans="1:8">
      <c r="A2" s="118" t="s">
        <v>200</v>
      </c>
      <c r="C2" s="158"/>
      <c r="D2" s="119" t="str">
        <f>[1]MSP2_01!C2</f>
        <v>TESTING MSP</v>
      </c>
      <c r="E2" s="119"/>
      <c r="F2" s="119"/>
      <c r="G2" s="119"/>
      <c r="H2" s="119"/>
    </row>
    <row r="3" spans="1:8">
      <c r="A3" s="9"/>
      <c r="C3" s="158"/>
      <c r="D3" s="41"/>
      <c r="E3" s="159"/>
      <c r="F3" s="159"/>
      <c r="G3" s="159"/>
      <c r="H3" s="159"/>
    </row>
    <row r="4" spans="1:8">
      <c r="A4" s="9" t="s">
        <v>2</v>
      </c>
      <c r="C4" s="158"/>
      <c r="D4" s="125" t="str">
        <f>[1]MSP2_01!C4</f>
        <v>M001</v>
      </c>
      <c r="E4" s="159"/>
      <c r="F4" s="159"/>
      <c r="G4" s="159"/>
      <c r="H4" s="159"/>
    </row>
    <row r="5" spans="1:8">
      <c r="A5" s="160"/>
      <c r="C5" s="158"/>
      <c r="D5" s="41"/>
      <c r="E5" s="159"/>
      <c r="F5" s="159"/>
      <c r="G5" s="159"/>
      <c r="H5" s="159"/>
    </row>
    <row r="6" spans="1:8">
      <c r="A6" s="126" t="s">
        <v>201</v>
      </c>
      <c r="C6" s="126"/>
      <c r="D6" s="127">
        <f>[1]MSP2_01!C6</f>
        <v>44561</v>
      </c>
      <c r="E6" s="159"/>
      <c r="F6" s="159"/>
      <c r="G6" s="159"/>
      <c r="H6" s="159"/>
    </row>
    <row r="7" spans="1:8">
      <c r="A7" s="160"/>
      <c r="C7" s="158"/>
      <c r="D7" s="41"/>
      <c r="E7" s="159"/>
      <c r="F7" s="159"/>
      <c r="G7" s="159"/>
      <c r="H7" s="159"/>
    </row>
    <row r="8" spans="1:8">
      <c r="A8" s="129" t="s">
        <v>202</v>
      </c>
      <c r="C8" s="158"/>
    </row>
    <row r="9" spans="1:8">
      <c r="A9" s="158"/>
      <c r="C9" s="158"/>
    </row>
    <row r="10" spans="1:8">
      <c r="A10" s="161" t="s">
        <v>6</v>
      </c>
      <c r="C10" s="158"/>
    </row>
    <row r="11" spans="1:8">
      <c r="A11" s="162"/>
      <c r="B11" s="163"/>
      <c r="C11" s="163"/>
    </row>
    <row r="12" spans="1:8">
      <c r="A12" s="31" t="s">
        <v>7</v>
      </c>
      <c r="B12" s="45" t="s">
        <v>203</v>
      </c>
      <c r="C12" s="164" t="s">
        <v>204</v>
      </c>
      <c r="D12" s="164" t="s">
        <v>205</v>
      </c>
    </row>
    <row r="13" spans="1:8" s="167" customFormat="1">
      <c r="A13" s="165" t="s">
        <v>11</v>
      </c>
      <c r="B13" s="165" t="s">
        <v>12</v>
      </c>
      <c r="C13" s="165" t="s">
        <v>13</v>
      </c>
      <c r="D13" s="166"/>
    </row>
    <row r="14" spans="1:8">
      <c r="A14" s="77">
        <v>1</v>
      </c>
      <c r="B14" s="45" t="s">
        <v>206</v>
      </c>
      <c r="C14" s="102">
        <f>SUM(C15:C22)</f>
        <v>10</v>
      </c>
      <c r="D14" s="168"/>
      <c r="E14" s="169"/>
    </row>
    <row r="15" spans="1:8">
      <c r="A15" s="77">
        <v>2</v>
      </c>
      <c r="B15" s="37" t="s">
        <v>207</v>
      </c>
      <c r="C15" s="40">
        <v>10</v>
      </c>
      <c r="D15" s="168" t="s">
        <v>208</v>
      </c>
    </row>
    <row r="16" spans="1:8">
      <c r="A16" s="77">
        <v>3</v>
      </c>
      <c r="B16" s="37" t="s">
        <v>209</v>
      </c>
      <c r="C16" s="40">
        <v>0</v>
      </c>
      <c r="D16" s="168" t="s">
        <v>210</v>
      </c>
    </row>
    <row r="17" spans="1:4">
      <c r="A17" s="77">
        <v>4</v>
      </c>
      <c r="B17" s="37" t="s">
        <v>211</v>
      </c>
      <c r="C17" s="40">
        <v>0</v>
      </c>
      <c r="D17" s="168" t="s">
        <v>212</v>
      </c>
    </row>
    <row r="18" spans="1:4">
      <c r="A18" s="77">
        <v>5</v>
      </c>
      <c r="B18" s="37" t="s">
        <v>213</v>
      </c>
      <c r="C18" s="40">
        <v>0</v>
      </c>
      <c r="D18" s="168" t="s">
        <v>214</v>
      </c>
    </row>
    <row r="19" spans="1:4">
      <c r="A19" s="77">
        <v>6</v>
      </c>
      <c r="B19" s="37" t="s">
        <v>215</v>
      </c>
      <c r="C19" s="40">
        <v>0</v>
      </c>
      <c r="D19" s="168"/>
    </row>
    <row r="20" spans="1:4" ht="25.5">
      <c r="A20" s="77">
        <v>7</v>
      </c>
      <c r="B20" s="37" t="s">
        <v>216</v>
      </c>
      <c r="C20" s="40">
        <v>0</v>
      </c>
      <c r="D20" s="168"/>
    </row>
    <row r="21" spans="1:4" ht="25.5">
      <c r="A21" s="77">
        <v>8</v>
      </c>
      <c r="B21" s="37" t="s">
        <v>217</v>
      </c>
      <c r="C21" s="40">
        <v>0</v>
      </c>
      <c r="D21" s="168"/>
    </row>
    <row r="22" spans="1:4">
      <c r="A22" s="77">
        <v>9</v>
      </c>
      <c r="B22" s="37" t="s">
        <v>218</v>
      </c>
      <c r="C22" s="40">
        <v>0</v>
      </c>
      <c r="D22" s="168"/>
    </row>
    <row r="23" spans="1:4" s="167" customFormat="1">
      <c r="A23" s="77">
        <v>10</v>
      </c>
      <c r="B23" s="45" t="s">
        <v>219</v>
      </c>
      <c r="C23" s="107">
        <f>[1]MSP2_01!C46</f>
        <v>10</v>
      </c>
      <c r="D23" s="166"/>
    </row>
    <row r="24" spans="1:4" s="167" customFormat="1">
      <c r="A24" s="77">
        <v>11</v>
      </c>
      <c r="B24" s="45" t="s">
        <v>220</v>
      </c>
      <c r="C24" s="170">
        <f>0.05*C23</f>
        <v>0.5</v>
      </c>
      <c r="D24" s="166"/>
    </row>
    <row r="25" spans="1:4" s="167" customFormat="1">
      <c r="A25" s="77">
        <v>12</v>
      </c>
      <c r="B25" s="45" t="s">
        <v>221</v>
      </c>
      <c r="C25" s="170">
        <f>C14-C24</f>
        <v>9.5</v>
      </c>
      <c r="D25" s="166"/>
    </row>
    <row r="26" spans="1:4">
      <c r="A26" s="77">
        <v>13</v>
      </c>
      <c r="B26" s="45" t="s">
        <v>222</v>
      </c>
      <c r="C26" s="171">
        <f>C14/C23</f>
        <v>1</v>
      </c>
      <c r="D26" s="168"/>
    </row>
    <row r="29" spans="1:4">
      <c r="B29" s="157" t="s">
        <v>223</v>
      </c>
    </row>
  </sheetData>
  <mergeCells count="3">
    <mergeCell ref="D2:H2"/>
    <mergeCell ref="E3:H7"/>
    <mergeCell ref="B11:C11"/>
  </mergeCells>
  <dataValidations count="1">
    <dataValidation type="decimal" allowBlank="1" showInputMessage="1" showErrorMessage="1" sqref="C14:C26" xr:uid="{26A1BDE5-7B80-4EEA-A87C-8EF8631694CD}">
      <formula1>-999999999999</formula1>
      <formula2>999999999999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9CDC-9204-4282-A3E1-E4512BB73113}">
  <dimension ref="A1:L27"/>
  <sheetViews>
    <sheetView workbookViewId="0">
      <selection activeCell="B35" sqref="B35"/>
    </sheetView>
  </sheetViews>
  <sheetFormatPr defaultRowHeight="14.25"/>
  <cols>
    <col min="1" max="1" width="4.42578125" style="186" customWidth="1"/>
    <col min="2" max="2" width="81.140625" style="186" customWidth="1"/>
    <col min="3" max="3" width="12.42578125" style="186" customWidth="1"/>
    <col min="4" max="4" width="20.140625" style="186" customWidth="1"/>
    <col min="5" max="5" width="14.42578125" style="186" bestFit="1" customWidth="1"/>
    <col min="6" max="6" width="13.85546875" style="186" bestFit="1" customWidth="1"/>
    <col min="7" max="7" width="13.5703125" style="186" bestFit="1" customWidth="1"/>
    <col min="8" max="8" width="17" style="186" bestFit="1" customWidth="1"/>
    <col min="9" max="9" width="18.42578125" style="186" bestFit="1" customWidth="1"/>
    <col min="10" max="10" width="10.42578125" style="186" customWidth="1"/>
    <col min="11" max="11" width="12" style="186" customWidth="1"/>
    <col min="12" max="12" width="60.42578125" style="186" bestFit="1" customWidth="1"/>
    <col min="13" max="16384" width="9.140625" style="186"/>
  </cols>
  <sheetData>
    <row r="1" spans="1:12" s="173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s="173" customFormat="1">
      <c r="A2" s="118" t="s">
        <v>200</v>
      </c>
      <c r="B2" s="10"/>
      <c r="C2" s="174" t="str">
        <f>[1]MSP2_01!C2</f>
        <v>TESTING MSP</v>
      </c>
      <c r="D2" s="175"/>
      <c r="E2" s="175"/>
      <c r="F2" s="176"/>
      <c r="G2" s="1"/>
      <c r="H2" s="1"/>
      <c r="I2" s="1"/>
      <c r="J2" s="1"/>
      <c r="K2" s="1"/>
    </row>
    <row r="3" spans="1:12" s="173" customFormat="1">
      <c r="A3" s="9"/>
      <c r="B3" s="10"/>
      <c r="C3" s="1"/>
      <c r="D3" s="1"/>
      <c r="E3" s="1"/>
      <c r="F3" s="1"/>
      <c r="G3" s="1"/>
      <c r="H3" s="1"/>
      <c r="I3" s="1"/>
      <c r="J3" s="1"/>
      <c r="K3" s="1"/>
    </row>
    <row r="4" spans="1:12" s="173" customFormat="1">
      <c r="A4" s="9" t="s">
        <v>2</v>
      </c>
      <c r="B4" s="10"/>
      <c r="C4" s="177" t="str">
        <f>[1]MSP2_01!C4</f>
        <v>M001</v>
      </c>
      <c r="D4" s="1"/>
      <c r="E4" s="1"/>
      <c r="F4" s="1"/>
      <c r="G4" s="1"/>
      <c r="H4" s="1"/>
      <c r="I4" s="1"/>
      <c r="J4" s="1"/>
      <c r="K4" s="1"/>
    </row>
    <row r="5" spans="1:12" s="173" customFormat="1">
      <c r="A5" s="126"/>
      <c r="B5" s="10"/>
      <c r="C5" s="1"/>
      <c r="D5" s="1"/>
      <c r="E5" s="1"/>
      <c r="F5" s="1"/>
      <c r="G5" s="1"/>
      <c r="H5" s="1"/>
      <c r="I5" s="1"/>
      <c r="J5" s="1"/>
      <c r="K5" s="1"/>
    </row>
    <row r="6" spans="1:12" s="173" customFormat="1">
      <c r="A6" s="126" t="s">
        <v>224</v>
      </c>
      <c r="B6" s="21"/>
      <c r="C6" s="178">
        <f>[1]MSP2_01!C6</f>
        <v>44561</v>
      </c>
      <c r="D6" s="1"/>
      <c r="E6" s="1"/>
      <c r="F6" s="1"/>
      <c r="G6" s="1"/>
      <c r="H6" s="1"/>
      <c r="I6" s="1"/>
      <c r="J6" s="1"/>
      <c r="K6" s="1"/>
    </row>
    <row r="7" spans="1:12" s="173" customFormat="1">
      <c r="A7" s="21"/>
      <c r="B7" s="21"/>
      <c r="C7" s="1"/>
      <c r="D7" s="1"/>
      <c r="E7" s="1"/>
      <c r="F7" s="1"/>
      <c r="G7" s="1"/>
      <c r="H7" s="1"/>
      <c r="I7" s="1"/>
      <c r="J7" s="1"/>
      <c r="K7" s="1"/>
    </row>
    <row r="8" spans="1:12" s="173" customFormat="1">
      <c r="A8" s="28" t="s">
        <v>225</v>
      </c>
      <c r="B8" s="28"/>
      <c r="C8" s="1"/>
      <c r="D8" s="1"/>
      <c r="E8" s="1"/>
      <c r="F8" s="1"/>
      <c r="G8" s="1"/>
      <c r="H8" s="1"/>
      <c r="I8" s="1"/>
      <c r="J8" s="1"/>
      <c r="K8" s="1"/>
    </row>
    <row r="9" spans="1:12" s="173" customFormat="1">
      <c r="A9" s="179"/>
      <c r="B9" s="179"/>
      <c r="C9" s="1"/>
      <c r="D9" s="1"/>
      <c r="E9" s="1"/>
      <c r="F9" s="1"/>
      <c r="G9" s="1"/>
      <c r="H9" s="1"/>
      <c r="I9" s="1"/>
      <c r="J9" s="1"/>
      <c r="K9" s="1"/>
    </row>
    <row r="10" spans="1:12" s="173" customForma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2" s="182" customFormat="1" ht="15">
      <c r="A11" s="31" t="s">
        <v>7</v>
      </c>
      <c r="B11" s="31" t="s">
        <v>8</v>
      </c>
      <c r="C11" s="31" t="s">
        <v>226</v>
      </c>
      <c r="D11" s="31" t="s">
        <v>227</v>
      </c>
      <c r="E11" s="180" t="s">
        <v>228</v>
      </c>
      <c r="F11" s="180"/>
      <c r="G11" s="180"/>
      <c r="H11" s="180"/>
      <c r="I11" s="180"/>
      <c r="J11" s="180"/>
      <c r="K11" s="181"/>
    </row>
    <row r="12" spans="1:12" s="182" customFormat="1" ht="15">
      <c r="A12" s="183"/>
      <c r="B12" s="183"/>
      <c r="C12" s="183"/>
      <c r="D12" s="183"/>
      <c r="E12" s="184" t="s">
        <v>229</v>
      </c>
      <c r="F12" s="184" t="s">
        <v>230</v>
      </c>
      <c r="G12" s="184" t="s">
        <v>231</v>
      </c>
      <c r="H12" s="184" t="s">
        <v>232</v>
      </c>
      <c r="I12" s="184" t="s">
        <v>233</v>
      </c>
      <c r="J12" s="184" t="s">
        <v>234</v>
      </c>
      <c r="K12" s="184" t="s">
        <v>235</v>
      </c>
      <c r="L12" s="182" t="s">
        <v>10</v>
      </c>
    </row>
    <row r="13" spans="1:12">
      <c r="A13" s="96" t="s">
        <v>11</v>
      </c>
      <c r="B13" s="96" t="s">
        <v>12</v>
      </c>
      <c r="C13" s="96" t="s">
        <v>13</v>
      </c>
      <c r="D13" s="185" t="s">
        <v>14</v>
      </c>
      <c r="E13" s="96" t="s">
        <v>135</v>
      </c>
      <c r="F13" s="185" t="s">
        <v>136</v>
      </c>
      <c r="G13" s="96" t="s">
        <v>137</v>
      </c>
      <c r="H13" s="185" t="s">
        <v>138</v>
      </c>
      <c r="I13" s="96" t="s">
        <v>139</v>
      </c>
      <c r="J13" s="185" t="s">
        <v>140</v>
      </c>
      <c r="K13" s="185" t="s">
        <v>236</v>
      </c>
    </row>
    <row r="14" spans="1:12">
      <c r="A14" s="101">
        <v>1</v>
      </c>
      <c r="B14" s="37" t="s">
        <v>237</v>
      </c>
      <c r="C14" s="40">
        <v>0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5">
        <f>SUM(E14:J14)</f>
        <v>0</v>
      </c>
      <c r="L14" s="186" t="s">
        <v>238</v>
      </c>
    </row>
    <row r="15" spans="1:12">
      <c r="A15" s="101">
        <v>2</v>
      </c>
      <c r="B15" s="37" t="s">
        <v>239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5">
        <f t="shared" ref="K15:K22" si="0">SUM(E15:J15)</f>
        <v>0</v>
      </c>
      <c r="L15" s="186" t="s">
        <v>240</v>
      </c>
    </row>
    <row r="16" spans="1:12">
      <c r="A16" s="101">
        <v>3</v>
      </c>
      <c r="B16" s="37" t="s">
        <v>241</v>
      </c>
      <c r="C16" s="40">
        <v>0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5">
        <f t="shared" si="0"/>
        <v>0</v>
      </c>
      <c r="L16" s="186" t="s">
        <v>242</v>
      </c>
    </row>
    <row r="17" spans="1:12">
      <c r="A17" s="101">
        <v>4</v>
      </c>
      <c r="B17" s="37" t="s">
        <v>243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5">
        <f t="shared" si="0"/>
        <v>0</v>
      </c>
      <c r="L17" s="186" t="s">
        <v>244</v>
      </c>
    </row>
    <row r="18" spans="1:12">
      <c r="A18" s="101">
        <v>5</v>
      </c>
      <c r="B18" s="45" t="s">
        <v>245</v>
      </c>
      <c r="C18" s="107">
        <f>C14+C15-C16-C17</f>
        <v>0</v>
      </c>
      <c r="D18" s="107">
        <f t="shared" ref="D18:J18" si="1">D14+D15-D16-D17</f>
        <v>0</v>
      </c>
      <c r="E18" s="107">
        <f t="shared" si="1"/>
        <v>0</v>
      </c>
      <c r="F18" s="107">
        <f t="shared" si="1"/>
        <v>0</v>
      </c>
      <c r="G18" s="107">
        <f t="shared" si="1"/>
        <v>0</v>
      </c>
      <c r="H18" s="107">
        <f t="shared" si="1"/>
        <v>0</v>
      </c>
      <c r="I18" s="107">
        <f t="shared" si="1"/>
        <v>0</v>
      </c>
      <c r="J18" s="107">
        <f t="shared" si="1"/>
        <v>0</v>
      </c>
      <c r="K18" s="4">
        <f>SUM(E18:J18)</f>
        <v>0</v>
      </c>
      <c r="L18" s="186" t="s">
        <v>246</v>
      </c>
    </row>
    <row r="19" spans="1:12">
      <c r="A19" s="101">
        <v>6</v>
      </c>
      <c r="B19" s="37" t="s">
        <v>247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5">
        <f t="shared" si="0"/>
        <v>0</v>
      </c>
      <c r="L19" s="186" t="s">
        <v>248</v>
      </c>
    </row>
    <row r="20" spans="1:12">
      <c r="A20" s="101">
        <v>7</v>
      </c>
      <c r="B20" s="37" t="s">
        <v>249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5">
        <f t="shared" si="0"/>
        <v>0</v>
      </c>
      <c r="L20" s="186" t="s">
        <v>250</v>
      </c>
    </row>
    <row r="21" spans="1:12">
      <c r="A21" s="101">
        <v>8</v>
      </c>
      <c r="B21" s="37" t="s">
        <v>251</v>
      </c>
      <c r="C21" s="40">
        <v>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5">
        <f t="shared" si="0"/>
        <v>0</v>
      </c>
      <c r="L21" s="186" t="s">
        <v>252</v>
      </c>
    </row>
    <row r="22" spans="1:12">
      <c r="A22" s="101">
        <v>9</v>
      </c>
      <c r="B22" s="37" t="s">
        <v>253</v>
      </c>
      <c r="C22" s="40">
        <v>0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5">
        <f t="shared" si="0"/>
        <v>0</v>
      </c>
      <c r="L22" s="186" t="s">
        <v>254</v>
      </c>
    </row>
    <row r="23" spans="1:1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</row>
    <row r="24" spans="1:12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</row>
    <row r="25" spans="1:12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</row>
    <row r="26" spans="1:12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</row>
    <row r="27" spans="1:12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</row>
  </sheetData>
  <mergeCells count="3">
    <mergeCell ref="C2:F2"/>
    <mergeCell ref="A8:B8"/>
    <mergeCell ref="E11:J11"/>
  </mergeCells>
  <dataValidations count="1">
    <dataValidation type="decimal" allowBlank="1" showInputMessage="1" showErrorMessage="1" sqref="C14:K22" xr:uid="{B9FA25EE-5717-4AB4-88BE-29E9953650DB}">
      <formula1>-999999999999</formula1>
      <formula2>999999999999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D846-05CA-4E6B-AD2A-5704F2C916C5}">
  <dimension ref="A1:I85"/>
  <sheetViews>
    <sheetView workbookViewId="0">
      <selection sqref="A1:XFD1048576"/>
    </sheetView>
  </sheetViews>
  <sheetFormatPr defaultColWidth="8.85546875" defaultRowHeight="12.75"/>
  <cols>
    <col min="1" max="1" width="8.85546875" style="188"/>
    <col min="2" max="2" width="39.5703125" style="188" customWidth="1"/>
    <col min="3" max="3" width="23.42578125" style="188" customWidth="1"/>
    <col min="4" max="4" width="19.140625" style="188" customWidth="1"/>
    <col min="5" max="5" width="18.5703125" style="188" customWidth="1"/>
    <col min="6" max="6" width="18.85546875" style="188" customWidth="1"/>
    <col min="7" max="7" width="19.140625" style="188" customWidth="1"/>
    <col min="8" max="8" width="19.42578125" style="188" bestFit="1" customWidth="1"/>
    <col min="9" max="9" width="60.140625" style="188" bestFit="1" customWidth="1"/>
    <col min="10" max="10" width="31.85546875" style="188" bestFit="1" customWidth="1"/>
    <col min="11" max="16384" width="8.85546875" style="188"/>
  </cols>
  <sheetData>
    <row r="1" spans="1:9">
      <c r="A1" s="187"/>
      <c r="B1" s="187"/>
      <c r="C1" s="187"/>
      <c r="D1" s="187"/>
      <c r="E1" s="187"/>
      <c r="F1" s="187"/>
      <c r="G1" s="187"/>
      <c r="H1" s="187"/>
      <c r="I1" s="187"/>
    </row>
    <row r="2" spans="1:9">
      <c r="A2" s="189" t="s">
        <v>200</v>
      </c>
      <c r="B2" s="190"/>
      <c r="C2" s="190"/>
      <c r="D2" s="190"/>
      <c r="E2" s="190"/>
      <c r="F2" s="191" t="str">
        <f>[1]MSP2_01!C2</f>
        <v>TESTING MSP</v>
      </c>
      <c r="G2" s="192"/>
      <c r="H2" s="193"/>
      <c r="I2" s="187"/>
    </row>
    <row r="3" spans="1:9">
      <c r="A3" s="194"/>
      <c r="B3" s="190"/>
      <c r="C3" s="190"/>
      <c r="D3" s="190"/>
      <c r="E3" s="190"/>
      <c r="F3" s="190"/>
      <c r="G3" s="190"/>
      <c r="H3" s="190"/>
      <c r="I3" s="187"/>
    </row>
    <row r="4" spans="1:9">
      <c r="A4" s="194" t="s">
        <v>255</v>
      </c>
      <c r="B4" s="190"/>
      <c r="C4" s="190"/>
      <c r="D4" s="190"/>
      <c r="E4" s="190"/>
      <c r="F4" s="195" t="str">
        <f>[1]MSP2_01!C4</f>
        <v>M001</v>
      </c>
      <c r="G4" s="190"/>
      <c r="H4" s="190"/>
      <c r="I4" s="187"/>
    </row>
    <row r="5" spans="1:9">
      <c r="A5" s="196"/>
      <c r="B5" s="190"/>
      <c r="C5" s="190"/>
      <c r="D5" s="190"/>
      <c r="E5" s="190"/>
      <c r="F5" s="190"/>
      <c r="G5" s="190"/>
      <c r="H5" s="190"/>
      <c r="I5" s="187"/>
    </row>
    <row r="6" spans="1:9">
      <c r="A6" s="196" t="s">
        <v>256</v>
      </c>
      <c r="B6" s="197"/>
      <c r="C6" s="197"/>
      <c r="D6" s="197"/>
      <c r="E6" s="197"/>
      <c r="F6" s="198">
        <f>[1]MSP2_01!C6</f>
        <v>44561</v>
      </c>
      <c r="G6" s="197"/>
      <c r="H6" s="197"/>
      <c r="I6" s="187"/>
    </row>
    <row r="7" spans="1:9">
      <c r="A7" s="197"/>
      <c r="B7" s="197"/>
      <c r="C7" s="197"/>
      <c r="D7" s="197"/>
      <c r="E7" s="197"/>
      <c r="F7" s="197"/>
      <c r="G7" s="197"/>
      <c r="H7" s="197"/>
      <c r="I7" s="187"/>
    </row>
    <row r="8" spans="1:9" ht="14.25">
      <c r="A8" s="199" t="s">
        <v>257</v>
      </c>
      <c r="B8" s="200"/>
      <c r="C8" s="200"/>
      <c r="D8" s="200"/>
      <c r="E8" s="201"/>
      <c r="F8" s="201"/>
      <c r="G8" s="201"/>
      <c r="H8" s="201"/>
      <c r="I8" s="187"/>
    </row>
    <row r="9" spans="1:9">
      <c r="A9" s="202"/>
      <c r="B9" s="202"/>
      <c r="C9" s="197"/>
      <c r="D9" s="197"/>
      <c r="E9" s="197"/>
      <c r="F9" s="197"/>
      <c r="G9" s="197"/>
      <c r="H9" s="197"/>
      <c r="I9" s="187"/>
    </row>
    <row r="10" spans="1:9">
      <c r="A10" s="203"/>
      <c r="B10" s="187"/>
      <c r="C10" s="187"/>
      <c r="D10" s="187"/>
      <c r="E10" s="187"/>
      <c r="F10" s="187"/>
      <c r="G10" s="187"/>
      <c r="H10" s="187"/>
      <c r="I10" s="187"/>
    </row>
    <row r="11" spans="1:9" ht="25.35" customHeight="1">
      <c r="A11" s="204" t="s">
        <v>7</v>
      </c>
      <c r="B11" s="205" t="s">
        <v>258</v>
      </c>
      <c r="C11" s="206" t="s">
        <v>259</v>
      </c>
      <c r="D11" s="207"/>
      <c r="E11" s="208"/>
      <c r="F11" s="206" t="s">
        <v>260</v>
      </c>
      <c r="G11" s="207"/>
      <c r="H11" s="208"/>
      <c r="I11" s="209" t="s">
        <v>10</v>
      </c>
    </row>
    <row r="12" spans="1:9" ht="50.85" customHeight="1">
      <c r="A12" s="210"/>
      <c r="B12" s="211"/>
      <c r="C12" s="204" t="s">
        <v>261</v>
      </c>
      <c r="D12" s="204" t="s">
        <v>262</v>
      </c>
      <c r="E12" s="204" t="s">
        <v>263</v>
      </c>
      <c r="F12" s="204" t="s">
        <v>261</v>
      </c>
      <c r="G12" s="204" t="s">
        <v>262</v>
      </c>
      <c r="H12" s="204" t="s">
        <v>264</v>
      </c>
      <c r="I12" s="210"/>
    </row>
    <row r="13" spans="1:9">
      <c r="A13" s="212" t="s">
        <v>11</v>
      </c>
      <c r="B13" s="212" t="s">
        <v>12</v>
      </c>
      <c r="C13" s="212" t="s">
        <v>13</v>
      </c>
      <c r="D13" s="212" t="s">
        <v>14</v>
      </c>
      <c r="E13" s="212" t="s">
        <v>135</v>
      </c>
      <c r="F13" s="212" t="s">
        <v>136</v>
      </c>
      <c r="G13" s="212" t="s">
        <v>137</v>
      </c>
      <c r="H13" s="212" t="s">
        <v>138</v>
      </c>
      <c r="I13" s="213"/>
    </row>
    <row r="14" spans="1:9" ht="14.25">
      <c r="A14" s="214">
        <v>1</v>
      </c>
      <c r="B14" s="215" t="s">
        <v>265</v>
      </c>
      <c r="C14" s="216">
        <v>0</v>
      </c>
      <c r="D14" s="217">
        <v>0</v>
      </c>
      <c r="E14" s="218">
        <v>0</v>
      </c>
      <c r="F14" s="218">
        <v>0</v>
      </c>
      <c r="G14" s="218">
        <v>0</v>
      </c>
      <c r="H14" s="218">
        <v>0</v>
      </c>
      <c r="I14" s="219">
        <v>0</v>
      </c>
    </row>
    <row r="15" spans="1:9">
      <c r="A15" s="214">
        <v>2</v>
      </c>
      <c r="B15" s="220" t="s">
        <v>266</v>
      </c>
      <c r="C15" s="40">
        <v>0</v>
      </c>
      <c r="D15" s="40">
        <v>0</v>
      </c>
      <c r="E15" s="221">
        <f t="shared" ref="E15:E42" si="0">SUM(C15:D15)</f>
        <v>0</v>
      </c>
      <c r="F15" s="40">
        <v>0</v>
      </c>
      <c r="G15" s="40">
        <v>0</v>
      </c>
      <c r="H15" s="222">
        <f>SUM(F15:G15)</f>
        <v>0</v>
      </c>
      <c r="I15" s="213"/>
    </row>
    <row r="16" spans="1:9">
      <c r="A16" s="223">
        <v>3</v>
      </c>
      <c r="B16" s="220" t="s">
        <v>267</v>
      </c>
      <c r="C16" s="40">
        <v>0</v>
      </c>
      <c r="D16" s="40">
        <v>0</v>
      </c>
      <c r="E16" s="221">
        <f t="shared" si="0"/>
        <v>0</v>
      </c>
      <c r="F16" s="40">
        <v>0</v>
      </c>
      <c r="G16" s="40">
        <v>0</v>
      </c>
      <c r="H16" s="222">
        <f>SUM(F16:G16)</f>
        <v>0</v>
      </c>
      <c r="I16" s="213"/>
    </row>
    <row r="17" spans="1:9">
      <c r="A17" s="214">
        <v>4</v>
      </c>
      <c r="B17" s="220" t="s">
        <v>268</v>
      </c>
      <c r="C17" s="40">
        <v>0</v>
      </c>
      <c r="D17" s="40">
        <v>0</v>
      </c>
      <c r="E17" s="221">
        <f t="shared" si="0"/>
        <v>0</v>
      </c>
      <c r="F17" s="40">
        <v>0</v>
      </c>
      <c r="G17" s="40">
        <v>0</v>
      </c>
      <c r="H17" s="222">
        <f>SUM(F17:G17)</f>
        <v>0</v>
      </c>
      <c r="I17" s="213"/>
    </row>
    <row r="18" spans="1:9">
      <c r="A18" s="214">
        <v>5</v>
      </c>
      <c r="B18" s="220" t="s">
        <v>269</v>
      </c>
      <c r="C18" s="40">
        <v>0</v>
      </c>
      <c r="D18" s="40">
        <v>0</v>
      </c>
      <c r="E18" s="221">
        <f t="shared" si="0"/>
        <v>0</v>
      </c>
      <c r="F18" s="40">
        <v>0</v>
      </c>
      <c r="G18" s="40">
        <v>0</v>
      </c>
      <c r="H18" s="222">
        <f>SUM(F18:G18)</f>
        <v>0</v>
      </c>
      <c r="I18" s="213"/>
    </row>
    <row r="19" spans="1:9">
      <c r="A19" s="214">
        <v>6</v>
      </c>
      <c r="B19" s="220" t="s">
        <v>270</v>
      </c>
      <c r="C19" s="40">
        <v>0</v>
      </c>
      <c r="D19" s="40">
        <v>0</v>
      </c>
      <c r="E19" s="221">
        <f t="shared" si="0"/>
        <v>0</v>
      </c>
      <c r="F19" s="40">
        <v>0</v>
      </c>
      <c r="G19" s="40">
        <v>0</v>
      </c>
      <c r="H19" s="222">
        <f>SUM(F19:G19)</f>
        <v>0</v>
      </c>
      <c r="I19" s="213"/>
    </row>
    <row r="20" spans="1:9">
      <c r="A20" s="214">
        <v>7</v>
      </c>
      <c r="B20" s="220" t="s">
        <v>271</v>
      </c>
      <c r="C20" s="40">
        <v>0</v>
      </c>
      <c r="D20" s="40">
        <v>0</v>
      </c>
      <c r="E20" s="221">
        <f t="shared" si="0"/>
        <v>0</v>
      </c>
      <c r="F20" s="40">
        <v>0</v>
      </c>
      <c r="G20" s="40">
        <v>0</v>
      </c>
      <c r="H20" s="222">
        <f t="shared" ref="H20:H42" si="1">SUM(F20:G20)</f>
        <v>0</v>
      </c>
      <c r="I20" s="213"/>
    </row>
    <row r="21" spans="1:9">
      <c r="A21" s="223">
        <v>8</v>
      </c>
      <c r="B21" s="220"/>
      <c r="C21" s="40">
        <v>0</v>
      </c>
      <c r="D21" s="40">
        <v>0</v>
      </c>
      <c r="E21" s="221">
        <f t="shared" si="0"/>
        <v>0</v>
      </c>
      <c r="F21" s="40">
        <v>0</v>
      </c>
      <c r="G21" s="40">
        <v>0</v>
      </c>
      <c r="H21" s="222">
        <f t="shared" si="1"/>
        <v>0</v>
      </c>
      <c r="I21" s="213"/>
    </row>
    <row r="22" spans="1:9">
      <c r="A22" s="214">
        <v>9</v>
      </c>
      <c r="B22" s="220"/>
      <c r="C22" s="40">
        <v>0</v>
      </c>
      <c r="D22" s="40">
        <v>0</v>
      </c>
      <c r="E22" s="221">
        <f t="shared" si="0"/>
        <v>0</v>
      </c>
      <c r="F22" s="40">
        <v>0</v>
      </c>
      <c r="G22" s="40">
        <v>0</v>
      </c>
      <c r="H22" s="222">
        <f t="shared" si="1"/>
        <v>0</v>
      </c>
      <c r="I22" s="213"/>
    </row>
    <row r="23" spans="1:9">
      <c r="A23" s="214">
        <v>10</v>
      </c>
      <c r="B23" s="220"/>
      <c r="C23" s="40">
        <v>0</v>
      </c>
      <c r="D23" s="40">
        <v>0</v>
      </c>
      <c r="E23" s="221">
        <f t="shared" si="0"/>
        <v>0</v>
      </c>
      <c r="F23" s="40">
        <v>0</v>
      </c>
      <c r="G23" s="40">
        <v>0</v>
      </c>
      <c r="H23" s="222">
        <f t="shared" si="1"/>
        <v>0</v>
      </c>
      <c r="I23" s="213"/>
    </row>
    <row r="24" spans="1:9">
      <c r="A24" s="214">
        <v>11</v>
      </c>
      <c r="B24" s="220"/>
      <c r="C24" s="40">
        <v>0</v>
      </c>
      <c r="D24" s="40">
        <v>0</v>
      </c>
      <c r="E24" s="221">
        <f t="shared" si="0"/>
        <v>0</v>
      </c>
      <c r="F24" s="40">
        <v>0</v>
      </c>
      <c r="G24" s="40">
        <v>0</v>
      </c>
      <c r="H24" s="222">
        <f t="shared" si="1"/>
        <v>0</v>
      </c>
      <c r="I24" s="213"/>
    </row>
    <row r="25" spans="1:9">
      <c r="A25" s="214">
        <v>12</v>
      </c>
      <c r="B25" s="220"/>
      <c r="C25" s="40">
        <v>0</v>
      </c>
      <c r="D25" s="40">
        <v>0</v>
      </c>
      <c r="E25" s="221">
        <f t="shared" si="0"/>
        <v>0</v>
      </c>
      <c r="F25" s="40">
        <v>0</v>
      </c>
      <c r="G25" s="40">
        <v>0</v>
      </c>
      <c r="H25" s="222">
        <f t="shared" si="1"/>
        <v>0</v>
      </c>
      <c r="I25" s="213"/>
    </row>
    <row r="26" spans="1:9">
      <c r="A26" s="223">
        <v>13</v>
      </c>
      <c r="B26" s="220"/>
      <c r="C26" s="40">
        <v>0</v>
      </c>
      <c r="D26" s="40">
        <v>0</v>
      </c>
      <c r="E26" s="221">
        <f t="shared" si="0"/>
        <v>0</v>
      </c>
      <c r="F26" s="40">
        <v>0</v>
      </c>
      <c r="G26" s="40">
        <v>0</v>
      </c>
      <c r="H26" s="222">
        <f t="shared" si="1"/>
        <v>0</v>
      </c>
      <c r="I26" s="213"/>
    </row>
    <row r="27" spans="1:9">
      <c r="A27" s="214">
        <v>14</v>
      </c>
      <c r="B27" s="220"/>
      <c r="C27" s="40">
        <v>0</v>
      </c>
      <c r="D27" s="40">
        <v>0</v>
      </c>
      <c r="E27" s="221">
        <f t="shared" si="0"/>
        <v>0</v>
      </c>
      <c r="F27" s="40">
        <v>0</v>
      </c>
      <c r="G27" s="40">
        <v>0</v>
      </c>
      <c r="H27" s="222">
        <f t="shared" si="1"/>
        <v>0</v>
      </c>
      <c r="I27" s="213"/>
    </row>
    <row r="28" spans="1:9">
      <c r="A28" s="214">
        <v>15</v>
      </c>
      <c r="B28" s="220"/>
      <c r="C28" s="40">
        <v>0</v>
      </c>
      <c r="D28" s="40">
        <v>0</v>
      </c>
      <c r="E28" s="221">
        <f t="shared" si="0"/>
        <v>0</v>
      </c>
      <c r="F28" s="40">
        <v>0</v>
      </c>
      <c r="G28" s="40">
        <v>0</v>
      </c>
      <c r="H28" s="222">
        <f t="shared" si="1"/>
        <v>0</v>
      </c>
      <c r="I28" s="213"/>
    </row>
    <row r="29" spans="1:9">
      <c r="A29" s="214">
        <v>16</v>
      </c>
      <c r="B29" s="220"/>
      <c r="C29" s="40">
        <v>0</v>
      </c>
      <c r="D29" s="40">
        <v>0</v>
      </c>
      <c r="E29" s="221">
        <f t="shared" si="0"/>
        <v>0</v>
      </c>
      <c r="F29" s="40">
        <v>0</v>
      </c>
      <c r="G29" s="40">
        <v>0</v>
      </c>
      <c r="H29" s="222">
        <f t="shared" si="1"/>
        <v>0</v>
      </c>
      <c r="I29" s="213"/>
    </row>
    <row r="30" spans="1:9">
      <c r="A30" s="214">
        <v>17</v>
      </c>
      <c r="B30" s="220"/>
      <c r="C30" s="40">
        <v>0</v>
      </c>
      <c r="D30" s="40">
        <v>0</v>
      </c>
      <c r="E30" s="221">
        <f t="shared" si="0"/>
        <v>0</v>
      </c>
      <c r="F30" s="40">
        <v>0</v>
      </c>
      <c r="G30" s="40">
        <v>0</v>
      </c>
      <c r="H30" s="222">
        <f t="shared" si="1"/>
        <v>0</v>
      </c>
      <c r="I30" s="213"/>
    </row>
    <row r="31" spans="1:9">
      <c r="A31" s="223">
        <v>18</v>
      </c>
      <c r="B31" s="220"/>
      <c r="C31" s="40">
        <v>0</v>
      </c>
      <c r="D31" s="40">
        <v>0</v>
      </c>
      <c r="E31" s="221">
        <f t="shared" si="0"/>
        <v>0</v>
      </c>
      <c r="F31" s="40">
        <v>0</v>
      </c>
      <c r="G31" s="40">
        <v>0</v>
      </c>
      <c r="H31" s="222">
        <f t="shared" si="1"/>
        <v>0</v>
      </c>
      <c r="I31" s="213"/>
    </row>
    <row r="32" spans="1:9">
      <c r="A32" s="214">
        <v>19</v>
      </c>
      <c r="B32" s="220"/>
      <c r="C32" s="40">
        <v>0</v>
      </c>
      <c r="D32" s="40">
        <v>0</v>
      </c>
      <c r="E32" s="221">
        <f t="shared" si="0"/>
        <v>0</v>
      </c>
      <c r="F32" s="40">
        <v>0</v>
      </c>
      <c r="G32" s="40">
        <v>0</v>
      </c>
      <c r="H32" s="222">
        <f t="shared" si="1"/>
        <v>0</v>
      </c>
      <c r="I32" s="213"/>
    </row>
    <row r="33" spans="1:9">
      <c r="A33" s="214">
        <v>20</v>
      </c>
      <c r="B33" s="220"/>
      <c r="C33" s="40">
        <v>0</v>
      </c>
      <c r="D33" s="40">
        <v>0</v>
      </c>
      <c r="E33" s="221">
        <f t="shared" si="0"/>
        <v>0</v>
      </c>
      <c r="F33" s="40">
        <v>0</v>
      </c>
      <c r="G33" s="40">
        <v>0</v>
      </c>
      <c r="H33" s="222">
        <f t="shared" si="1"/>
        <v>0</v>
      </c>
      <c r="I33" s="213"/>
    </row>
    <row r="34" spans="1:9">
      <c r="A34" s="223">
        <v>21</v>
      </c>
      <c r="B34" s="220"/>
      <c r="C34" s="40">
        <v>0</v>
      </c>
      <c r="D34" s="40">
        <v>0</v>
      </c>
      <c r="E34" s="221">
        <f t="shared" si="0"/>
        <v>0</v>
      </c>
      <c r="F34" s="40">
        <v>0</v>
      </c>
      <c r="G34" s="40">
        <v>0</v>
      </c>
      <c r="H34" s="222">
        <f t="shared" si="1"/>
        <v>0</v>
      </c>
      <c r="I34" s="213"/>
    </row>
    <row r="35" spans="1:9">
      <c r="A35" s="214">
        <v>22</v>
      </c>
      <c r="B35" s="220"/>
      <c r="C35" s="40">
        <v>0</v>
      </c>
      <c r="D35" s="40">
        <v>0</v>
      </c>
      <c r="E35" s="221">
        <f t="shared" si="0"/>
        <v>0</v>
      </c>
      <c r="F35" s="40">
        <v>0</v>
      </c>
      <c r="G35" s="40">
        <v>0</v>
      </c>
      <c r="H35" s="222">
        <f t="shared" si="1"/>
        <v>0</v>
      </c>
      <c r="I35" s="213"/>
    </row>
    <row r="36" spans="1:9">
      <c r="A36" s="214">
        <v>23</v>
      </c>
      <c r="B36" s="220"/>
      <c r="C36" s="40">
        <v>0</v>
      </c>
      <c r="D36" s="40">
        <v>0</v>
      </c>
      <c r="E36" s="221">
        <f t="shared" si="0"/>
        <v>0</v>
      </c>
      <c r="F36" s="40">
        <v>0</v>
      </c>
      <c r="G36" s="40">
        <v>0</v>
      </c>
      <c r="H36" s="222">
        <f t="shared" si="1"/>
        <v>0</v>
      </c>
      <c r="I36" s="213"/>
    </row>
    <row r="37" spans="1:9">
      <c r="A37" s="223">
        <v>24</v>
      </c>
      <c r="B37" s="220"/>
      <c r="C37" s="40">
        <v>0</v>
      </c>
      <c r="D37" s="40">
        <v>0</v>
      </c>
      <c r="E37" s="221">
        <f t="shared" si="0"/>
        <v>0</v>
      </c>
      <c r="F37" s="40">
        <v>0</v>
      </c>
      <c r="G37" s="40">
        <v>0</v>
      </c>
      <c r="H37" s="222">
        <f t="shared" si="1"/>
        <v>0</v>
      </c>
      <c r="I37" s="213"/>
    </row>
    <row r="38" spans="1:9">
      <c r="A38" s="214">
        <v>25</v>
      </c>
      <c r="B38" s="220"/>
      <c r="C38" s="40">
        <v>0</v>
      </c>
      <c r="D38" s="40">
        <v>0</v>
      </c>
      <c r="E38" s="221">
        <f t="shared" si="0"/>
        <v>0</v>
      </c>
      <c r="F38" s="40">
        <v>0</v>
      </c>
      <c r="G38" s="40">
        <v>0</v>
      </c>
      <c r="H38" s="222">
        <f t="shared" si="1"/>
        <v>0</v>
      </c>
      <c r="I38" s="213"/>
    </row>
    <row r="39" spans="1:9">
      <c r="A39" s="214">
        <v>26</v>
      </c>
      <c r="B39" s="220"/>
      <c r="C39" s="40">
        <v>0</v>
      </c>
      <c r="D39" s="40">
        <v>0</v>
      </c>
      <c r="E39" s="221">
        <f t="shared" si="0"/>
        <v>0</v>
      </c>
      <c r="F39" s="40">
        <v>0</v>
      </c>
      <c r="G39" s="40">
        <v>0</v>
      </c>
      <c r="H39" s="222">
        <f t="shared" si="1"/>
        <v>0</v>
      </c>
      <c r="I39" s="213"/>
    </row>
    <row r="40" spans="1:9">
      <c r="A40" s="223">
        <v>27</v>
      </c>
      <c r="B40" s="220"/>
      <c r="C40" s="40">
        <v>0</v>
      </c>
      <c r="D40" s="40">
        <v>0</v>
      </c>
      <c r="E40" s="221">
        <f t="shared" si="0"/>
        <v>0</v>
      </c>
      <c r="F40" s="40">
        <v>0</v>
      </c>
      <c r="G40" s="40">
        <v>0</v>
      </c>
      <c r="H40" s="222">
        <f t="shared" si="1"/>
        <v>0</v>
      </c>
      <c r="I40" s="213"/>
    </row>
    <row r="41" spans="1:9">
      <c r="A41" s="214">
        <v>28</v>
      </c>
      <c r="B41" s="220"/>
      <c r="C41" s="40">
        <v>0</v>
      </c>
      <c r="D41" s="40">
        <v>0</v>
      </c>
      <c r="E41" s="221">
        <f t="shared" si="0"/>
        <v>0</v>
      </c>
      <c r="F41" s="40">
        <v>0</v>
      </c>
      <c r="G41" s="40">
        <v>0</v>
      </c>
      <c r="H41" s="222">
        <f t="shared" si="1"/>
        <v>0</v>
      </c>
      <c r="I41" s="213"/>
    </row>
    <row r="42" spans="1:9">
      <c r="A42" s="214">
        <v>29</v>
      </c>
      <c r="B42" s="220"/>
      <c r="C42" s="40">
        <v>0</v>
      </c>
      <c r="D42" s="40">
        <v>0</v>
      </c>
      <c r="E42" s="221">
        <f t="shared" si="0"/>
        <v>0</v>
      </c>
      <c r="F42" s="40">
        <v>0</v>
      </c>
      <c r="G42" s="40">
        <v>0</v>
      </c>
      <c r="H42" s="222">
        <f t="shared" si="1"/>
        <v>0</v>
      </c>
      <c r="I42" s="213"/>
    </row>
    <row r="43" spans="1:9" ht="19.350000000000001" customHeight="1">
      <c r="A43" s="223">
        <v>30</v>
      </c>
      <c r="B43" s="224" t="s">
        <v>272</v>
      </c>
      <c r="C43" s="222">
        <f t="shared" ref="C43:H43" si="2">SUM(C15:C42)</f>
        <v>0</v>
      </c>
      <c r="D43" s="222">
        <f t="shared" si="2"/>
        <v>0</v>
      </c>
      <c r="E43" s="222">
        <f t="shared" si="2"/>
        <v>0</v>
      </c>
      <c r="F43" s="222">
        <f t="shared" si="2"/>
        <v>0</v>
      </c>
      <c r="G43" s="222">
        <f t="shared" si="2"/>
        <v>0</v>
      </c>
      <c r="H43" s="222">
        <f t="shared" si="2"/>
        <v>0</v>
      </c>
      <c r="I43" s="225" t="s">
        <v>273</v>
      </c>
    </row>
    <row r="44" spans="1:9" ht="29.25" customHeight="1">
      <c r="A44" s="214">
        <v>31</v>
      </c>
      <c r="B44" s="226" t="s">
        <v>274</v>
      </c>
      <c r="C44" s="222"/>
      <c r="D44" s="222"/>
      <c r="E44" s="222"/>
      <c r="F44" s="222"/>
      <c r="G44" s="222"/>
      <c r="H44" s="222"/>
      <c r="I44" s="225"/>
    </row>
    <row r="45" spans="1:9" ht="19.350000000000001" customHeight="1">
      <c r="A45" s="214">
        <v>32</v>
      </c>
      <c r="B45" s="227" t="s">
        <v>275</v>
      </c>
      <c r="C45" s="40">
        <v>0</v>
      </c>
      <c r="D45" s="40">
        <v>0</v>
      </c>
      <c r="E45" s="4">
        <f>SUM(C45:D45)</f>
        <v>0</v>
      </c>
      <c r="F45" s="40">
        <v>0</v>
      </c>
      <c r="G45" s="40">
        <v>0</v>
      </c>
      <c r="H45" s="222">
        <f t="shared" ref="H45:H58" si="3">SUM(F45:G45)</f>
        <v>0</v>
      </c>
      <c r="I45" s="225"/>
    </row>
    <row r="46" spans="1:9" ht="19.350000000000001" customHeight="1">
      <c r="A46" s="214">
        <v>33</v>
      </c>
      <c r="B46" s="227"/>
      <c r="C46" s="40">
        <v>0</v>
      </c>
      <c r="D46" s="40">
        <v>0</v>
      </c>
      <c r="E46" s="4">
        <f t="shared" ref="E46:E58" si="4">SUM(C46:D46)</f>
        <v>0</v>
      </c>
      <c r="F46" s="40">
        <v>0</v>
      </c>
      <c r="G46" s="40">
        <v>0</v>
      </c>
      <c r="H46" s="222">
        <f t="shared" si="3"/>
        <v>0</v>
      </c>
      <c r="I46" s="225"/>
    </row>
    <row r="47" spans="1:9" ht="19.350000000000001" customHeight="1">
      <c r="A47" s="223">
        <v>34</v>
      </c>
      <c r="B47" s="227"/>
      <c r="C47" s="40">
        <v>0</v>
      </c>
      <c r="D47" s="40">
        <v>0</v>
      </c>
      <c r="E47" s="4">
        <f t="shared" si="4"/>
        <v>0</v>
      </c>
      <c r="F47" s="40">
        <v>0</v>
      </c>
      <c r="G47" s="40">
        <v>0</v>
      </c>
      <c r="H47" s="222">
        <f t="shared" si="3"/>
        <v>0</v>
      </c>
      <c r="I47" s="225"/>
    </row>
    <row r="48" spans="1:9" ht="19.350000000000001" customHeight="1">
      <c r="A48" s="214">
        <v>35</v>
      </c>
      <c r="B48" s="227"/>
      <c r="C48" s="40">
        <v>0</v>
      </c>
      <c r="D48" s="40">
        <v>0</v>
      </c>
      <c r="E48" s="4">
        <f t="shared" si="4"/>
        <v>0</v>
      </c>
      <c r="F48" s="40">
        <v>0</v>
      </c>
      <c r="G48" s="40">
        <v>0</v>
      </c>
      <c r="H48" s="222">
        <f t="shared" si="3"/>
        <v>0</v>
      </c>
      <c r="I48" s="225"/>
    </row>
    <row r="49" spans="1:9" ht="19.350000000000001" customHeight="1">
      <c r="A49" s="214">
        <v>36</v>
      </c>
      <c r="B49" s="227"/>
      <c r="C49" s="40">
        <v>0</v>
      </c>
      <c r="D49" s="40">
        <v>0</v>
      </c>
      <c r="E49" s="4">
        <f t="shared" si="4"/>
        <v>0</v>
      </c>
      <c r="F49" s="40">
        <v>0</v>
      </c>
      <c r="G49" s="40">
        <v>0</v>
      </c>
      <c r="H49" s="222">
        <f t="shared" si="3"/>
        <v>0</v>
      </c>
      <c r="I49" s="225"/>
    </row>
    <row r="50" spans="1:9" ht="19.350000000000001" customHeight="1">
      <c r="A50" s="214">
        <v>37</v>
      </c>
      <c r="B50" s="227"/>
      <c r="C50" s="40">
        <v>0</v>
      </c>
      <c r="D50" s="40">
        <v>0</v>
      </c>
      <c r="E50" s="4">
        <f t="shared" si="4"/>
        <v>0</v>
      </c>
      <c r="F50" s="40">
        <v>0</v>
      </c>
      <c r="G50" s="40">
        <v>0</v>
      </c>
      <c r="H50" s="222">
        <f t="shared" si="3"/>
        <v>0</v>
      </c>
      <c r="I50" s="225"/>
    </row>
    <row r="51" spans="1:9" ht="19.350000000000001" customHeight="1">
      <c r="A51" s="223">
        <v>38</v>
      </c>
      <c r="B51" s="227"/>
      <c r="C51" s="40">
        <v>0</v>
      </c>
      <c r="D51" s="40">
        <v>0</v>
      </c>
      <c r="E51" s="4">
        <f t="shared" si="4"/>
        <v>0</v>
      </c>
      <c r="F51" s="40">
        <v>0</v>
      </c>
      <c r="G51" s="40">
        <v>0</v>
      </c>
      <c r="H51" s="222">
        <f t="shared" si="3"/>
        <v>0</v>
      </c>
      <c r="I51" s="225"/>
    </row>
    <row r="52" spans="1:9" ht="19.350000000000001" customHeight="1">
      <c r="A52" s="214">
        <v>39</v>
      </c>
      <c r="B52" s="227"/>
      <c r="C52" s="40">
        <v>0</v>
      </c>
      <c r="D52" s="40">
        <v>0</v>
      </c>
      <c r="E52" s="4">
        <f t="shared" si="4"/>
        <v>0</v>
      </c>
      <c r="F52" s="40">
        <v>0</v>
      </c>
      <c r="G52" s="40">
        <v>0</v>
      </c>
      <c r="H52" s="222">
        <f t="shared" si="3"/>
        <v>0</v>
      </c>
      <c r="I52" s="225"/>
    </row>
    <row r="53" spans="1:9" ht="19.350000000000001" customHeight="1">
      <c r="A53" s="214">
        <v>40</v>
      </c>
      <c r="B53" s="227"/>
      <c r="C53" s="40">
        <v>0</v>
      </c>
      <c r="D53" s="40">
        <v>0</v>
      </c>
      <c r="E53" s="4">
        <f t="shared" si="4"/>
        <v>0</v>
      </c>
      <c r="F53" s="40">
        <v>0</v>
      </c>
      <c r="G53" s="40">
        <v>0</v>
      </c>
      <c r="H53" s="222">
        <f t="shared" si="3"/>
        <v>0</v>
      </c>
      <c r="I53" s="225"/>
    </row>
    <row r="54" spans="1:9" ht="19.350000000000001" customHeight="1">
      <c r="A54" s="214">
        <v>41</v>
      </c>
      <c r="B54" s="227"/>
      <c r="C54" s="40">
        <v>0</v>
      </c>
      <c r="D54" s="40">
        <v>0</v>
      </c>
      <c r="E54" s="4">
        <f t="shared" si="4"/>
        <v>0</v>
      </c>
      <c r="F54" s="40">
        <v>0</v>
      </c>
      <c r="G54" s="40">
        <v>0</v>
      </c>
      <c r="H54" s="222">
        <f t="shared" si="3"/>
        <v>0</v>
      </c>
      <c r="I54" s="225"/>
    </row>
    <row r="55" spans="1:9" ht="19.350000000000001" customHeight="1">
      <c r="A55" s="223">
        <v>42</v>
      </c>
      <c r="B55" s="227"/>
      <c r="C55" s="40">
        <v>0</v>
      </c>
      <c r="D55" s="40">
        <v>0</v>
      </c>
      <c r="E55" s="4">
        <f t="shared" si="4"/>
        <v>0</v>
      </c>
      <c r="F55" s="40">
        <v>0</v>
      </c>
      <c r="G55" s="40">
        <v>0</v>
      </c>
      <c r="H55" s="222">
        <f t="shared" si="3"/>
        <v>0</v>
      </c>
      <c r="I55" s="225"/>
    </row>
    <row r="56" spans="1:9" ht="19.350000000000001" customHeight="1">
      <c r="A56" s="214">
        <v>43</v>
      </c>
      <c r="B56" s="227"/>
      <c r="C56" s="40">
        <v>0</v>
      </c>
      <c r="D56" s="40">
        <v>0</v>
      </c>
      <c r="E56" s="4">
        <f t="shared" si="4"/>
        <v>0</v>
      </c>
      <c r="F56" s="40">
        <v>0</v>
      </c>
      <c r="G56" s="40">
        <v>0</v>
      </c>
      <c r="H56" s="222">
        <f t="shared" si="3"/>
        <v>0</v>
      </c>
      <c r="I56" s="225"/>
    </row>
    <row r="57" spans="1:9" ht="19.350000000000001" customHeight="1">
      <c r="A57" s="214">
        <v>44</v>
      </c>
      <c r="B57" s="227"/>
      <c r="C57" s="40">
        <v>0</v>
      </c>
      <c r="D57" s="40">
        <v>0</v>
      </c>
      <c r="E57" s="4">
        <f t="shared" si="4"/>
        <v>0</v>
      </c>
      <c r="F57" s="40">
        <v>0</v>
      </c>
      <c r="G57" s="40">
        <v>0</v>
      </c>
      <c r="H57" s="222">
        <f t="shared" si="3"/>
        <v>0</v>
      </c>
      <c r="I57" s="225"/>
    </row>
    <row r="58" spans="1:9" ht="19.350000000000001" customHeight="1">
      <c r="A58" s="214">
        <v>45</v>
      </c>
      <c r="B58" s="227"/>
      <c r="C58" s="40">
        <v>0</v>
      </c>
      <c r="D58" s="40">
        <v>0</v>
      </c>
      <c r="E58" s="4">
        <f t="shared" si="4"/>
        <v>0</v>
      </c>
      <c r="F58" s="40">
        <v>0</v>
      </c>
      <c r="G58" s="40">
        <v>0</v>
      </c>
      <c r="H58" s="222">
        <f t="shared" si="3"/>
        <v>0</v>
      </c>
      <c r="I58" s="225"/>
    </row>
    <row r="59" spans="1:9" ht="25.5">
      <c r="A59" s="223">
        <v>46</v>
      </c>
      <c r="B59" s="224" t="s">
        <v>276</v>
      </c>
      <c r="C59" s="222">
        <f t="shared" ref="C59:H59" si="5">SUM(C45:C58)</f>
        <v>0</v>
      </c>
      <c r="D59" s="222">
        <f t="shared" si="5"/>
        <v>0</v>
      </c>
      <c r="E59" s="222">
        <f t="shared" si="5"/>
        <v>0</v>
      </c>
      <c r="F59" s="222">
        <f t="shared" si="5"/>
        <v>0</v>
      </c>
      <c r="G59" s="222">
        <f t="shared" si="5"/>
        <v>0</v>
      </c>
      <c r="H59" s="222">
        <f t="shared" si="5"/>
        <v>0</v>
      </c>
      <c r="I59" s="225" t="s">
        <v>277</v>
      </c>
    </row>
    <row r="60" spans="1:9">
      <c r="A60" s="214">
        <v>47</v>
      </c>
      <c r="B60" s="226" t="s">
        <v>278</v>
      </c>
      <c r="C60" s="102"/>
      <c r="D60" s="102"/>
      <c r="E60" s="228"/>
      <c r="F60" s="102"/>
      <c r="G60" s="102"/>
      <c r="H60" s="102"/>
      <c r="I60" s="213"/>
    </row>
    <row r="61" spans="1:9">
      <c r="A61" s="214">
        <v>48</v>
      </c>
      <c r="B61" s="223" t="s">
        <v>279</v>
      </c>
      <c r="C61" s="40">
        <v>0</v>
      </c>
      <c r="D61" s="40">
        <v>0</v>
      </c>
      <c r="E61" s="221">
        <f t="shared" ref="E61:E66" si="6">SUM(C61:D61)</f>
        <v>0</v>
      </c>
      <c r="F61" s="40">
        <v>0</v>
      </c>
      <c r="G61" s="40">
        <v>0</v>
      </c>
      <c r="H61" s="221">
        <f t="shared" ref="H61:H66" si="7">SUM(F61:G61)</f>
        <v>0</v>
      </c>
      <c r="I61" s="213"/>
    </row>
    <row r="62" spans="1:9">
      <c r="A62" s="214">
        <v>49</v>
      </c>
      <c r="B62" s="223" t="s">
        <v>280</v>
      </c>
      <c r="C62" s="40">
        <v>0</v>
      </c>
      <c r="D62" s="40">
        <v>0</v>
      </c>
      <c r="E62" s="221">
        <f t="shared" si="6"/>
        <v>0</v>
      </c>
      <c r="F62" s="40">
        <v>0</v>
      </c>
      <c r="G62" s="40">
        <v>0</v>
      </c>
      <c r="H62" s="221">
        <f t="shared" si="7"/>
        <v>0</v>
      </c>
      <c r="I62" s="213"/>
    </row>
    <row r="63" spans="1:9">
      <c r="A63" s="223">
        <v>50</v>
      </c>
      <c r="B63" s="223" t="s">
        <v>281</v>
      </c>
      <c r="C63" s="40">
        <v>0</v>
      </c>
      <c r="D63" s="40">
        <v>0</v>
      </c>
      <c r="E63" s="221">
        <f t="shared" si="6"/>
        <v>0</v>
      </c>
      <c r="F63" s="40">
        <v>0</v>
      </c>
      <c r="G63" s="40">
        <v>0</v>
      </c>
      <c r="H63" s="221">
        <f t="shared" si="7"/>
        <v>0</v>
      </c>
      <c r="I63" s="213"/>
    </row>
    <row r="64" spans="1:9">
      <c r="A64" s="214">
        <v>51</v>
      </c>
      <c r="B64" s="223" t="s">
        <v>282</v>
      </c>
      <c r="C64" s="40">
        <v>0</v>
      </c>
      <c r="D64" s="40">
        <v>0</v>
      </c>
      <c r="E64" s="221">
        <f t="shared" si="6"/>
        <v>0</v>
      </c>
      <c r="F64" s="40">
        <v>0</v>
      </c>
      <c r="G64" s="40">
        <v>0</v>
      </c>
      <c r="H64" s="221">
        <f t="shared" si="7"/>
        <v>0</v>
      </c>
      <c r="I64" s="213"/>
    </row>
    <row r="65" spans="1:9">
      <c r="A65" s="214">
        <v>52</v>
      </c>
      <c r="B65" s="223" t="s">
        <v>283</v>
      </c>
      <c r="C65" s="40">
        <v>0</v>
      </c>
      <c r="D65" s="40">
        <v>0</v>
      </c>
      <c r="E65" s="221">
        <f t="shared" si="6"/>
        <v>0</v>
      </c>
      <c r="F65" s="40">
        <v>0</v>
      </c>
      <c r="G65" s="40">
        <v>0</v>
      </c>
      <c r="H65" s="221">
        <f t="shared" si="7"/>
        <v>0</v>
      </c>
      <c r="I65" s="213"/>
    </row>
    <row r="66" spans="1:9">
      <c r="A66" s="214">
        <v>53</v>
      </c>
      <c r="B66" s="223" t="s">
        <v>284</v>
      </c>
      <c r="C66" s="40">
        <v>0</v>
      </c>
      <c r="D66" s="40">
        <v>0</v>
      </c>
      <c r="E66" s="221">
        <f t="shared" si="6"/>
        <v>0</v>
      </c>
      <c r="F66" s="40">
        <v>0</v>
      </c>
      <c r="G66" s="40">
        <v>0</v>
      </c>
      <c r="H66" s="221">
        <f t="shared" si="7"/>
        <v>0</v>
      </c>
      <c r="I66" s="213"/>
    </row>
    <row r="67" spans="1:9">
      <c r="A67" s="223">
        <v>54</v>
      </c>
      <c r="B67" s="224"/>
      <c r="C67" s="229"/>
      <c r="D67" s="229"/>
      <c r="E67" s="228"/>
      <c r="F67" s="229"/>
      <c r="G67" s="229"/>
      <c r="H67" s="222"/>
      <c r="I67" s="213"/>
    </row>
    <row r="68" spans="1:9">
      <c r="A68" s="214">
        <v>55</v>
      </c>
      <c r="B68" s="224"/>
      <c r="C68" s="229"/>
      <c r="D68" s="229"/>
      <c r="E68" s="228"/>
      <c r="F68" s="229"/>
      <c r="G68" s="229"/>
      <c r="H68" s="222"/>
      <c r="I68" s="225"/>
    </row>
    <row r="69" spans="1:9">
      <c r="A69" s="214">
        <v>56</v>
      </c>
      <c r="B69" s="224" t="s">
        <v>285</v>
      </c>
      <c r="C69" s="222">
        <f t="shared" ref="C69:H69" si="8">SUM(C61:C66)</f>
        <v>0</v>
      </c>
      <c r="D69" s="222">
        <f t="shared" si="8"/>
        <v>0</v>
      </c>
      <c r="E69" s="222">
        <f t="shared" si="8"/>
        <v>0</v>
      </c>
      <c r="F69" s="222">
        <f t="shared" si="8"/>
        <v>0</v>
      </c>
      <c r="G69" s="222">
        <f t="shared" si="8"/>
        <v>0</v>
      </c>
      <c r="H69" s="222">
        <f t="shared" si="8"/>
        <v>0</v>
      </c>
      <c r="I69" s="225" t="s">
        <v>286</v>
      </c>
    </row>
    <row r="70" spans="1:9">
      <c r="A70" s="214">
        <v>57</v>
      </c>
      <c r="B70" s="224" t="s">
        <v>287</v>
      </c>
      <c r="C70" s="222">
        <f t="shared" ref="C70:H70" si="9">C43+C59+C69</f>
        <v>0</v>
      </c>
      <c r="D70" s="222">
        <f t="shared" si="9"/>
        <v>0</v>
      </c>
      <c r="E70" s="222">
        <f t="shared" si="9"/>
        <v>0</v>
      </c>
      <c r="F70" s="222">
        <f t="shared" si="9"/>
        <v>0</v>
      </c>
      <c r="G70" s="222">
        <f t="shared" si="9"/>
        <v>0</v>
      </c>
      <c r="H70" s="222">
        <f t="shared" si="9"/>
        <v>0</v>
      </c>
      <c r="I70" s="225" t="s">
        <v>288</v>
      </c>
    </row>
    <row r="71" spans="1:9">
      <c r="A71" s="214">
        <v>58</v>
      </c>
      <c r="B71" s="226" t="s">
        <v>289</v>
      </c>
      <c r="C71" s="230">
        <v>0</v>
      </c>
      <c r="D71" s="230">
        <v>0</v>
      </c>
      <c r="E71" s="230">
        <v>0</v>
      </c>
      <c r="F71" s="230">
        <v>0</v>
      </c>
      <c r="G71" s="230">
        <v>0</v>
      </c>
      <c r="H71" s="230">
        <v>0</v>
      </c>
      <c r="I71" s="225"/>
    </row>
    <row r="72" spans="1:9">
      <c r="A72" s="214">
        <v>59</v>
      </c>
      <c r="B72" s="231"/>
      <c r="C72" s="40">
        <v>0</v>
      </c>
      <c r="D72" s="40">
        <v>0</v>
      </c>
      <c r="E72" s="221">
        <f t="shared" ref="E72:E77" si="10">SUM(C72:D72)</f>
        <v>0</v>
      </c>
      <c r="F72" s="40">
        <v>0</v>
      </c>
      <c r="G72" s="40">
        <v>0</v>
      </c>
      <c r="H72" s="221">
        <f t="shared" ref="H72:H77" si="11">SUM(F72:G72)</f>
        <v>0</v>
      </c>
      <c r="I72" s="213"/>
    </row>
    <row r="73" spans="1:9">
      <c r="A73" s="214">
        <v>60</v>
      </c>
      <c r="B73" s="231"/>
      <c r="C73" s="40">
        <v>0</v>
      </c>
      <c r="D73" s="40">
        <v>0</v>
      </c>
      <c r="E73" s="221">
        <f t="shared" si="10"/>
        <v>0</v>
      </c>
      <c r="F73" s="40">
        <v>0</v>
      </c>
      <c r="G73" s="40">
        <v>0</v>
      </c>
      <c r="H73" s="221">
        <f t="shared" si="11"/>
        <v>0</v>
      </c>
      <c r="I73" s="213"/>
    </row>
    <row r="74" spans="1:9">
      <c r="A74" s="214">
        <v>61</v>
      </c>
      <c r="B74" s="231"/>
      <c r="C74" s="40">
        <v>0</v>
      </c>
      <c r="D74" s="40">
        <v>0</v>
      </c>
      <c r="E74" s="221">
        <f t="shared" si="10"/>
        <v>0</v>
      </c>
      <c r="F74" s="40">
        <v>0</v>
      </c>
      <c r="G74" s="40">
        <v>0</v>
      </c>
      <c r="H74" s="221">
        <f t="shared" si="11"/>
        <v>0</v>
      </c>
      <c r="I74" s="213"/>
    </row>
    <row r="75" spans="1:9">
      <c r="A75" s="214">
        <v>62</v>
      </c>
      <c r="B75" s="231"/>
      <c r="C75" s="40">
        <v>0</v>
      </c>
      <c r="D75" s="40">
        <v>0</v>
      </c>
      <c r="E75" s="221">
        <f t="shared" si="10"/>
        <v>0</v>
      </c>
      <c r="F75" s="40">
        <v>0</v>
      </c>
      <c r="G75" s="40">
        <v>0</v>
      </c>
      <c r="H75" s="221">
        <f t="shared" si="11"/>
        <v>0</v>
      </c>
      <c r="I75" s="213"/>
    </row>
    <row r="76" spans="1:9">
      <c r="A76" s="214">
        <v>63</v>
      </c>
      <c r="B76" s="231"/>
      <c r="C76" s="40">
        <v>0</v>
      </c>
      <c r="D76" s="40">
        <v>0</v>
      </c>
      <c r="E76" s="221">
        <f t="shared" si="10"/>
        <v>0</v>
      </c>
      <c r="F76" s="40">
        <v>0</v>
      </c>
      <c r="G76" s="40">
        <v>0</v>
      </c>
      <c r="H76" s="221">
        <f t="shared" si="11"/>
        <v>0</v>
      </c>
      <c r="I76" s="213"/>
    </row>
    <row r="77" spans="1:9">
      <c r="A77" s="214">
        <v>64</v>
      </c>
      <c r="B77" s="231"/>
      <c r="C77" s="40">
        <v>0</v>
      </c>
      <c r="D77" s="40">
        <v>0</v>
      </c>
      <c r="E77" s="221">
        <f t="shared" si="10"/>
        <v>0</v>
      </c>
      <c r="F77" s="40">
        <v>0</v>
      </c>
      <c r="G77" s="40">
        <v>0</v>
      </c>
      <c r="H77" s="221">
        <f t="shared" si="11"/>
        <v>0</v>
      </c>
      <c r="I77" s="213"/>
    </row>
    <row r="78" spans="1:9">
      <c r="A78" s="214">
        <v>65</v>
      </c>
      <c r="B78" s="224" t="s">
        <v>290</v>
      </c>
      <c r="C78" s="222">
        <f t="shared" ref="C78:H78" si="12">SUM(C72:C77)</f>
        <v>0</v>
      </c>
      <c r="D78" s="222">
        <f t="shared" si="12"/>
        <v>0</v>
      </c>
      <c r="E78" s="222">
        <f>SUM(E72:E77)</f>
        <v>0</v>
      </c>
      <c r="F78" s="222">
        <f t="shared" si="12"/>
        <v>0</v>
      </c>
      <c r="G78" s="222">
        <f t="shared" si="12"/>
        <v>0</v>
      </c>
      <c r="H78" s="222">
        <f t="shared" si="12"/>
        <v>0</v>
      </c>
      <c r="I78" s="225" t="s">
        <v>291</v>
      </c>
    </row>
    <row r="79" spans="1:9">
      <c r="A79" s="214">
        <v>66</v>
      </c>
      <c r="B79" s="224" t="s">
        <v>292</v>
      </c>
      <c r="C79" s="222">
        <f t="shared" ref="C79:H79" si="13">C43+C78</f>
        <v>0</v>
      </c>
      <c r="D79" s="222">
        <f t="shared" si="13"/>
        <v>0</v>
      </c>
      <c r="E79" s="222">
        <f t="shared" si="13"/>
        <v>0</v>
      </c>
      <c r="F79" s="222">
        <f t="shared" si="13"/>
        <v>0</v>
      </c>
      <c r="G79" s="222">
        <f t="shared" si="13"/>
        <v>0</v>
      </c>
      <c r="H79" s="222">
        <f t="shared" si="13"/>
        <v>0</v>
      </c>
      <c r="I79" s="225" t="s">
        <v>293</v>
      </c>
    </row>
    <row r="80" spans="1:9">
      <c r="A80" s="214">
        <v>67</v>
      </c>
      <c r="B80" s="224" t="s">
        <v>198</v>
      </c>
      <c r="C80" s="107">
        <f t="shared" ref="C80:H80" si="14">C70+C78</f>
        <v>0</v>
      </c>
      <c r="D80" s="107">
        <f t="shared" si="14"/>
        <v>0</v>
      </c>
      <c r="E80" s="107">
        <f t="shared" si="14"/>
        <v>0</v>
      </c>
      <c r="F80" s="107">
        <f t="shared" si="14"/>
        <v>0</v>
      </c>
      <c r="G80" s="107">
        <f t="shared" si="14"/>
        <v>0</v>
      </c>
      <c r="H80" s="107">
        <f t="shared" si="14"/>
        <v>0</v>
      </c>
      <c r="I80" s="225"/>
    </row>
    <row r="81" spans="1:9" ht="14.25">
      <c r="A81" s="232"/>
      <c r="B81" s="232"/>
      <c r="C81" s="232"/>
      <c r="D81" s="232"/>
      <c r="E81" s="232"/>
      <c r="F81" s="232"/>
      <c r="G81" s="232"/>
      <c r="H81" s="232"/>
      <c r="I81" s="232"/>
    </row>
    <row r="82" spans="1:9" ht="14.25">
      <c r="A82" s="232"/>
      <c r="B82" s="232"/>
      <c r="C82" s="232"/>
      <c r="D82" s="232"/>
      <c r="E82" s="232"/>
      <c r="F82" s="232"/>
      <c r="G82" s="232"/>
      <c r="H82" s="232"/>
      <c r="I82" s="232"/>
    </row>
    <row r="83" spans="1:9" ht="14.25">
      <c r="A83" s="233" t="s">
        <v>294</v>
      </c>
      <c r="B83" s="232"/>
      <c r="C83" s="233"/>
      <c r="D83" s="232"/>
      <c r="E83" s="232"/>
      <c r="F83" s="232"/>
      <c r="G83" s="232"/>
      <c r="H83" s="232"/>
      <c r="I83" s="232"/>
    </row>
    <row r="84" spans="1:9" ht="14.25">
      <c r="A84" s="232"/>
      <c r="B84" s="232"/>
      <c r="C84" s="232"/>
      <c r="D84" s="232"/>
      <c r="E84" s="232"/>
      <c r="F84" s="232"/>
      <c r="G84" s="232"/>
      <c r="H84" s="232"/>
      <c r="I84" s="232"/>
    </row>
    <row r="85" spans="1:9" ht="14.25">
      <c r="A85" s="232"/>
      <c r="B85" s="232"/>
      <c r="C85" s="232"/>
      <c r="D85" s="232"/>
      <c r="E85" s="232"/>
      <c r="F85" s="232"/>
      <c r="G85" s="232"/>
      <c r="H85" s="232"/>
      <c r="I85" s="232"/>
    </row>
  </sheetData>
  <mergeCells count="5">
    <mergeCell ref="F2:H2"/>
    <mergeCell ref="A9:B9"/>
    <mergeCell ref="B11:B12"/>
    <mergeCell ref="C11:E11"/>
    <mergeCell ref="F11:H11"/>
  </mergeCells>
  <dataValidations count="3">
    <dataValidation type="decimal" allowBlank="1" showInputMessage="1" showErrorMessage="1" sqref="F15" xr:uid="{F75E6F47-AF69-417F-81BB-4634C2815A25}">
      <formula1>-999999999999</formula1>
      <formula2>9999999999999</formula2>
    </dataValidation>
    <dataValidation type="list" allowBlank="1" showInputMessage="1" showErrorMessage="1" sqref="B15:B42" xr:uid="{AAAD9A08-D0FF-4C59-8C37-0930F9192E78}">
      <formula1>Banks</formula1>
    </dataValidation>
    <dataValidation type="decimal" allowBlank="1" showInputMessage="1" showErrorMessage="1" sqref="F16:F60 G15:G60 H15:H68 F61:G68 F69:H78 C15:C80 D15:E78 D79:H80" xr:uid="{E051CFAD-2D26-446F-9852-82E59AD56DC9}">
      <formula1>-999999999999</formula1>
      <formula2>999999999999</formula2>
    </dataValidation>
  </dataValidations>
  <hyperlinks>
    <hyperlink ref="B14" location="Banks" display="BANKS IN TANZANIA (lookup values)" xr:uid="{C5196A87-C145-4EB8-B261-D3B9B8D2CCA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9E9A-979C-438A-8D53-59B6C04C706D}">
  <dimension ref="A1:I45"/>
  <sheetViews>
    <sheetView workbookViewId="0">
      <selection activeCell="E18" sqref="E18"/>
    </sheetView>
  </sheetViews>
  <sheetFormatPr defaultColWidth="8.85546875" defaultRowHeight="12.75"/>
  <cols>
    <col min="1" max="1" width="8.85546875" style="117"/>
    <col min="2" max="2" width="39.5703125" style="117" customWidth="1"/>
    <col min="3" max="3" width="23.5703125" style="117" customWidth="1"/>
    <col min="4" max="4" width="16.140625" style="117" customWidth="1"/>
    <col min="5" max="16384" width="8.85546875" style="117"/>
  </cols>
  <sheetData>
    <row r="1" spans="1:9">
      <c r="A1" s="1"/>
      <c r="B1" s="1"/>
      <c r="C1" s="1"/>
      <c r="D1" s="1"/>
    </row>
    <row r="2" spans="1:9">
      <c r="A2" s="118" t="s">
        <v>76</v>
      </c>
      <c r="B2" s="10"/>
      <c r="C2" s="10"/>
      <c r="D2" s="201"/>
      <c r="E2" s="234" t="str">
        <f>[1]MSP2_01!C2</f>
        <v>TESTING MSP</v>
      </c>
      <c r="F2" s="235"/>
      <c r="G2" s="235"/>
      <c r="H2" s="235"/>
      <c r="I2" s="235"/>
    </row>
    <row r="3" spans="1:9">
      <c r="A3" s="9"/>
      <c r="B3" s="10"/>
      <c r="C3" s="10"/>
      <c r="D3" s="1"/>
      <c r="F3" s="236"/>
      <c r="G3" s="237"/>
      <c r="H3" s="237"/>
      <c r="I3" s="237"/>
    </row>
    <row r="4" spans="1:9">
      <c r="A4" s="9" t="s">
        <v>255</v>
      </c>
      <c r="B4" s="10"/>
      <c r="C4" s="238"/>
      <c r="D4" s="239"/>
      <c r="E4" s="240" t="str">
        <f>[1]MSP2_01!C4</f>
        <v>M001</v>
      </c>
      <c r="F4" s="241"/>
      <c r="G4" s="237"/>
      <c r="H4" s="237"/>
      <c r="I4" s="237"/>
    </row>
    <row r="5" spans="1:9">
      <c r="A5" s="9"/>
      <c r="B5" s="10"/>
      <c r="C5" s="10"/>
      <c r="D5" s="1"/>
      <c r="F5" s="236"/>
      <c r="G5" s="237"/>
      <c r="H5" s="237"/>
      <c r="I5" s="237"/>
    </row>
    <row r="6" spans="1:9">
      <c r="A6" s="126" t="s">
        <v>295</v>
      </c>
      <c r="B6" s="21"/>
      <c r="C6" s="21"/>
      <c r="D6" s="1"/>
      <c r="E6" s="242">
        <f>[1]MSP2_01!C6</f>
        <v>44561</v>
      </c>
      <c r="F6" s="243"/>
      <c r="G6" s="237"/>
      <c r="H6" s="237"/>
      <c r="I6" s="237"/>
    </row>
    <row r="7" spans="1:9">
      <c r="A7" s="21"/>
      <c r="B7" s="21"/>
      <c r="C7" s="21"/>
      <c r="D7" s="1"/>
    </row>
    <row r="8" spans="1:9" ht="14.25">
      <c r="A8" s="28" t="s">
        <v>296</v>
      </c>
      <c r="B8" s="28"/>
      <c r="C8" s="244"/>
      <c r="D8" s="1"/>
    </row>
    <row r="9" spans="1:9">
      <c r="A9" s="21"/>
      <c r="B9" s="21"/>
      <c r="C9" s="21"/>
      <c r="D9" s="1"/>
    </row>
    <row r="10" spans="1:9">
      <c r="A10" s="28" t="s">
        <v>6</v>
      </c>
      <c r="B10" s="28"/>
      <c r="C10" s="179"/>
      <c r="D10" s="1"/>
    </row>
    <row r="11" spans="1:9">
      <c r="A11" s="245"/>
      <c r="B11" s="1"/>
      <c r="C11" s="1"/>
      <c r="D11" s="1"/>
    </row>
    <row r="12" spans="1:9">
      <c r="A12" s="246" t="s">
        <v>7</v>
      </c>
      <c r="B12" s="32" t="s">
        <v>258</v>
      </c>
      <c r="C12" s="247" t="s">
        <v>297</v>
      </c>
      <c r="D12" s="248" t="s">
        <v>10</v>
      </c>
    </row>
    <row r="13" spans="1:9">
      <c r="A13" s="249" t="s">
        <v>11</v>
      </c>
      <c r="B13" s="249" t="s">
        <v>12</v>
      </c>
      <c r="C13" s="249" t="s">
        <v>13</v>
      </c>
      <c r="D13" s="250"/>
    </row>
    <row r="14" spans="1:9" ht="14.25">
      <c r="A14" s="251">
        <v>1</v>
      </c>
      <c r="B14" s="252" t="s">
        <v>265</v>
      </c>
      <c r="C14" s="253">
        <v>0</v>
      </c>
      <c r="D14" s="254">
        <v>0</v>
      </c>
    </row>
    <row r="15" spans="1:9">
      <c r="A15" s="37">
        <v>2</v>
      </c>
      <c r="B15" s="255" t="s">
        <v>298</v>
      </c>
      <c r="C15" s="40">
        <v>0</v>
      </c>
      <c r="D15" s="250"/>
    </row>
    <row r="16" spans="1:9">
      <c r="A16" s="251">
        <v>3</v>
      </c>
      <c r="B16" s="255" t="s">
        <v>271</v>
      </c>
      <c r="C16" s="40">
        <v>0</v>
      </c>
      <c r="D16" s="250"/>
    </row>
    <row r="17" spans="1:4">
      <c r="A17" s="37">
        <v>4</v>
      </c>
      <c r="B17" s="255"/>
      <c r="C17" s="40">
        <v>0</v>
      </c>
      <c r="D17" s="250"/>
    </row>
    <row r="18" spans="1:4">
      <c r="A18" s="251">
        <v>5</v>
      </c>
      <c r="B18" s="255"/>
      <c r="C18" s="40">
        <v>0</v>
      </c>
      <c r="D18" s="250"/>
    </row>
    <row r="19" spans="1:4">
      <c r="A19" s="37">
        <v>6</v>
      </c>
      <c r="B19" s="255"/>
      <c r="C19" s="40">
        <v>0</v>
      </c>
      <c r="D19" s="250"/>
    </row>
    <row r="20" spans="1:4">
      <c r="A20" s="251">
        <v>7</v>
      </c>
      <c r="B20" s="255"/>
      <c r="C20" s="40">
        <v>0</v>
      </c>
      <c r="D20" s="250"/>
    </row>
    <row r="21" spans="1:4">
      <c r="A21" s="37">
        <v>8</v>
      </c>
      <c r="B21" s="255"/>
      <c r="C21" s="40">
        <v>0</v>
      </c>
      <c r="D21" s="250"/>
    </row>
    <row r="22" spans="1:4">
      <c r="A22" s="251">
        <v>9</v>
      </c>
      <c r="B22" s="255"/>
      <c r="C22" s="40">
        <v>0</v>
      </c>
      <c r="D22" s="250"/>
    </row>
    <row r="23" spans="1:4">
      <c r="A23" s="37">
        <v>10</v>
      </c>
      <c r="B23" s="255"/>
      <c r="C23" s="40">
        <v>0</v>
      </c>
      <c r="D23" s="250"/>
    </row>
    <row r="24" spans="1:4">
      <c r="A24" s="251">
        <v>11</v>
      </c>
      <c r="B24" s="255"/>
      <c r="C24" s="40">
        <v>0</v>
      </c>
      <c r="D24" s="250"/>
    </row>
    <row r="25" spans="1:4">
      <c r="A25" s="37">
        <v>12</v>
      </c>
      <c r="B25" s="255"/>
      <c r="C25" s="40">
        <v>0</v>
      </c>
      <c r="D25" s="250"/>
    </row>
    <row r="26" spans="1:4">
      <c r="A26" s="251">
        <v>13</v>
      </c>
      <c r="B26" s="255"/>
      <c r="C26" s="40">
        <v>0</v>
      </c>
      <c r="D26" s="250"/>
    </row>
    <row r="27" spans="1:4">
      <c r="A27" s="37">
        <v>14</v>
      </c>
      <c r="B27" s="255"/>
      <c r="C27" s="40">
        <v>0</v>
      </c>
      <c r="D27" s="250"/>
    </row>
    <row r="28" spans="1:4">
      <c r="A28" s="251">
        <v>15</v>
      </c>
      <c r="B28" s="255"/>
      <c r="C28" s="40">
        <v>0</v>
      </c>
      <c r="D28" s="250"/>
    </row>
    <row r="29" spans="1:4">
      <c r="A29" s="37">
        <v>16</v>
      </c>
      <c r="B29" s="255"/>
      <c r="C29" s="40">
        <v>0</v>
      </c>
      <c r="D29" s="250"/>
    </row>
    <row r="30" spans="1:4">
      <c r="A30" s="251">
        <v>17</v>
      </c>
      <c r="B30" s="255"/>
      <c r="C30" s="40">
        <v>0</v>
      </c>
      <c r="D30" s="250"/>
    </row>
    <row r="31" spans="1:4">
      <c r="A31" s="37">
        <v>18</v>
      </c>
      <c r="B31" s="255"/>
      <c r="C31" s="40">
        <v>0</v>
      </c>
      <c r="D31" s="250"/>
    </row>
    <row r="32" spans="1:4">
      <c r="A32" s="251">
        <v>19</v>
      </c>
      <c r="B32" s="255"/>
      <c r="C32" s="40">
        <v>0</v>
      </c>
      <c r="D32" s="250"/>
    </row>
    <row r="33" spans="1:4">
      <c r="A33" s="37">
        <v>20</v>
      </c>
      <c r="B33" s="255"/>
      <c r="C33" s="40">
        <v>0</v>
      </c>
      <c r="D33" s="250"/>
    </row>
    <row r="34" spans="1:4">
      <c r="A34" s="251">
        <v>21</v>
      </c>
      <c r="B34" s="255"/>
      <c r="C34" s="40">
        <v>0</v>
      </c>
      <c r="D34" s="250"/>
    </row>
    <row r="35" spans="1:4">
      <c r="A35" s="37">
        <v>22</v>
      </c>
      <c r="B35" s="255"/>
      <c r="C35" s="40">
        <v>0</v>
      </c>
      <c r="D35" s="250"/>
    </row>
    <row r="36" spans="1:4">
      <c r="A36" s="251">
        <v>23</v>
      </c>
      <c r="B36" s="255"/>
      <c r="C36" s="40">
        <v>0</v>
      </c>
      <c r="D36" s="250"/>
    </row>
    <row r="37" spans="1:4">
      <c r="A37" s="37">
        <v>24</v>
      </c>
      <c r="B37" s="255"/>
      <c r="C37" s="40">
        <v>0</v>
      </c>
      <c r="D37" s="250"/>
    </row>
    <row r="38" spans="1:4">
      <c r="A38" s="251">
        <v>25</v>
      </c>
      <c r="B38" s="255"/>
      <c r="C38" s="40">
        <v>0</v>
      </c>
      <c r="D38" s="250"/>
    </row>
    <row r="39" spans="1:4">
      <c r="A39" s="37">
        <v>26</v>
      </c>
      <c r="B39" s="255"/>
      <c r="C39" s="40">
        <v>0</v>
      </c>
      <c r="D39" s="250"/>
    </row>
    <row r="40" spans="1:4">
      <c r="A40" s="251">
        <v>27</v>
      </c>
      <c r="B40" s="255"/>
      <c r="C40" s="40">
        <v>0</v>
      </c>
      <c r="D40" s="250"/>
    </row>
    <row r="41" spans="1:4">
      <c r="A41" s="37">
        <v>28</v>
      </c>
      <c r="B41" s="255"/>
      <c r="C41" s="40">
        <v>0</v>
      </c>
      <c r="D41" s="250"/>
    </row>
    <row r="42" spans="1:4">
      <c r="A42" s="37">
        <v>29</v>
      </c>
      <c r="B42" s="255"/>
      <c r="C42" s="40">
        <v>0</v>
      </c>
      <c r="D42" s="250"/>
    </row>
    <row r="43" spans="1:4">
      <c r="A43" s="251">
        <v>30</v>
      </c>
      <c r="B43" s="45" t="s">
        <v>299</v>
      </c>
      <c r="C43" s="222">
        <f>SUM(C15:C42)</f>
        <v>0</v>
      </c>
      <c r="D43" s="256" t="s">
        <v>300</v>
      </c>
    </row>
    <row r="44" spans="1:4" ht="14.25">
      <c r="A44" s="186"/>
      <c r="B44" s="186"/>
      <c r="C44" s="186"/>
      <c r="D44" s="186"/>
    </row>
    <row r="45" spans="1:4" ht="14.25">
      <c r="A45" s="257" t="s">
        <v>294</v>
      </c>
      <c r="B45" s="186"/>
      <c r="C45" s="258"/>
      <c r="D45" s="186"/>
    </row>
  </sheetData>
  <mergeCells count="7">
    <mergeCell ref="A10:B10"/>
    <mergeCell ref="E2:I2"/>
    <mergeCell ref="G3:I6"/>
    <mergeCell ref="C4:D4"/>
    <mergeCell ref="E4:F4"/>
    <mergeCell ref="E6:F6"/>
    <mergeCell ref="A8:B8"/>
  </mergeCells>
  <dataValidations count="2">
    <dataValidation type="list" allowBlank="1" showInputMessage="1" showErrorMessage="1" sqref="B15:B42" xr:uid="{B882560A-0A8C-41AB-BE01-D770FE6A0FA5}">
      <formula1>Agent_Banking</formula1>
    </dataValidation>
    <dataValidation type="decimal" allowBlank="1" showInputMessage="1" showErrorMessage="1" sqref="C15:C43" xr:uid="{AC9E80DC-DFDC-4689-AB55-78551F305993}">
      <formula1>-999999999999</formula1>
      <formula2>999999999999</formula2>
    </dataValidation>
  </dataValidations>
  <hyperlinks>
    <hyperlink ref="B14" location="Banks" display="BANKS IN TANZANIA (lookup values)" xr:uid="{C5A36F33-7F75-4BD2-8937-73462151369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0E36-36C4-45FC-AEB4-EB8210C537C7}">
  <dimension ref="A1:I82"/>
  <sheetViews>
    <sheetView workbookViewId="0">
      <selection sqref="A1:XFD1048576"/>
    </sheetView>
  </sheetViews>
  <sheetFormatPr defaultColWidth="25" defaultRowHeight="11.25"/>
  <cols>
    <col min="1" max="1" width="6.85546875" style="273" customWidth="1"/>
    <col min="2" max="2" width="29" style="261" customWidth="1"/>
    <col min="3" max="3" width="15.85546875" style="261" customWidth="1"/>
    <col min="4" max="4" width="18.5703125" style="261" customWidth="1"/>
    <col min="5" max="5" width="13.42578125" style="261" customWidth="1"/>
    <col min="6" max="6" width="19.140625" style="261" customWidth="1"/>
    <col min="7" max="7" width="15.42578125" style="261" customWidth="1"/>
    <col min="8" max="8" width="18.42578125" style="261" customWidth="1"/>
    <col min="9" max="253" width="9.140625" style="261" customWidth="1"/>
    <col min="254" max="254" width="4.5703125" style="261" bestFit="1" customWidth="1"/>
    <col min="255" max="16384" width="25" style="261"/>
  </cols>
  <sheetData>
    <row r="1" spans="1:9" ht="12.75">
      <c r="A1" s="259"/>
      <c r="B1" s="260"/>
      <c r="C1" s="105"/>
      <c r="D1" s="105"/>
      <c r="E1" s="105"/>
      <c r="F1" s="105"/>
      <c r="G1" s="105"/>
      <c r="H1" s="105"/>
    </row>
    <row r="2" spans="1:9" ht="12.75">
      <c r="A2" s="118" t="s">
        <v>200</v>
      </c>
      <c r="B2" s="260"/>
      <c r="C2" s="262"/>
      <c r="D2" s="263" t="str">
        <f>[1]MSP2_01!C2</f>
        <v>TESTING MSP</v>
      </c>
      <c r="E2" s="264"/>
      <c r="F2" s="265"/>
      <c r="G2" s="262"/>
      <c r="H2" s="262"/>
    </row>
    <row r="3" spans="1:9" ht="12.75">
      <c r="A3" s="9"/>
      <c r="B3" s="260"/>
      <c r="C3" s="262"/>
      <c r="D3" s="262"/>
      <c r="E3" s="262"/>
      <c r="F3" s="262"/>
      <c r="G3" s="262"/>
      <c r="H3" s="262"/>
    </row>
    <row r="4" spans="1:9" ht="12.75">
      <c r="A4" s="9" t="s">
        <v>2</v>
      </c>
      <c r="B4" s="260"/>
      <c r="C4" s="262"/>
      <c r="D4" s="266" t="str">
        <f>[1]MSP2_01!C4</f>
        <v>M001</v>
      </c>
      <c r="E4" s="262"/>
      <c r="F4" s="262"/>
      <c r="G4" s="262"/>
      <c r="H4" s="262"/>
    </row>
    <row r="5" spans="1:9" ht="12.75">
      <c r="A5" s="118"/>
      <c r="B5" s="260"/>
      <c r="C5" s="118"/>
      <c r="D5" s="118"/>
      <c r="E5" s="118"/>
      <c r="F5" s="118"/>
      <c r="G5" s="118"/>
      <c r="H5" s="118"/>
    </row>
    <row r="6" spans="1:9" ht="12.75">
      <c r="A6" s="126" t="s">
        <v>301</v>
      </c>
      <c r="B6" s="260"/>
      <c r="C6" s="262"/>
      <c r="D6" s="267">
        <f>[1]MSP2_01!C6</f>
        <v>44561</v>
      </c>
      <c r="E6" s="262"/>
      <c r="F6" s="262"/>
      <c r="G6" s="262"/>
      <c r="H6" s="262"/>
    </row>
    <row r="7" spans="1:9" ht="12.75">
      <c r="A7" s="118" t="s">
        <v>145</v>
      </c>
      <c r="B7" s="105"/>
      <c r="C7" s="262"/>
      <c r="D7" s="262"/>
      <c r="E7" s="262"/>
      <c r="F7" s="262"/>
      <c r="G7" s="262"/>
      <c r="H7" s="262"/>
    </row>
    <row r="8" spans="1:9" ht="12.75">
      <c r="A8" s="129" t="s">
        <v>302</v>
      </c>
      <c r="B8" s="105"/>
      <c r="C8" s="262"/>
      <c r="D8" s="262"/>
      <c r="E8" s="262"/>
      <c r="F8" s="262"/>
      <c r="G8" s="262"/>
      <c r="H8" s="262"/>
    </row>
    <row r="9" spans="1:9" ht="12.75">
      <c r="A9" s="268"/>
      <c r="B9" s="105"/>
      <c r="C9" s="269"/>
      <c r="D9" s="269"/>
      <c r="E9" s="269"/>
      <c r="F9" s="269"/>
      <c r="G9" s="269"/>
      <c r="H9" s="269"/>
    </row>
    <row r="10" spans="1:9" ht="12.75">
      <c r="A10" s="245"/>
      <c r="B10" s="105"/>
      <c r="C10" s="105"/>
      <c r="D10" s="105"/>
      <c r="E10" s="105"/>
      <c r="F10" s="105"/>
      <c r="G10" s="105"/>
      <c r="H10" s="105"/>
    </row>
    <row r="11" spans="1:9" ht="23.25" customHeight="1">
      <c r="A11" s="84" t="s">
        <v>7</v>
      </c>
      <c r="B11" s="84" t="s">
        <v>125</v>
      </c>
      <c r="C11" s="86" t="s">
        <v>303</v>
      </c>
      <c r="D11" s="87"/>
      <c r="E11" s="86" t="s">
        <v>304</v>
      </c>
      <c r="F11" s="87"/>
      <c r="G11" s="90" t="s">
        <v>305</v>
      </c>
      <c r="H11" s="90"/>
    </row>
    <row r="12" spans="1:9" ht="15" customHeight="1">
      <c r="A12" s="92"/>
      <c r="B12" s="92"/>
      <c r="C12" s="32" t="s">
        <v>306</v>
      </c>
      <c r="D12" s="32" t="s">
        <v>9</v>
      </c>
      <c r="E12" s="32" t="s">
        <v>306</v>
      </c>
      <c r="F12" s="32" t="s">
        <v>9</v>
      </c>
      <c r="G12" s="32" t="s">
        <v>307</v>
      </c>
      <c r="H12" s="32" t="s">
        <v>308</v>
      </c>
      <c r="I12" s="270"/>
    </row>
    <row r="13" spans="1:9" ht="12.75">
      <c r="A13" s="96" t="s">
        <v>11</v>
      </c>
      <c r="B13" s="96" t="s">
        <v>12</v>
      </c>
      <c r="C13" s="97" t="s">
        <v>13</v>
      </c>
      <c r="D13" s="97" t="s">
        <v>14</v>
      </c>
      <c r="E13" s="97" t="s">
        <v>135</v>
      </c>
      <c r="F13" s="97" t="s">
        <v>136</v>
      </c>
      <c r="G13" s="97" t="s">
        <v>137</v>
      </c>
      <c r="H13" s="271" t="s">
        <v>138</v>
      </c>
      <c r="I13" s="272"/>
    </row>
    <row r="14" spans="1:9" ht="12.75">
      <c r="A14" s="101">
        <v>1</v>
      </c>
      <c r="B14" s="45" t="s">
        <v>141</v>
      </c>
      <c r="C14" s="40">
        <v>0</v>
      </c>
      <c r="D14" s="40">
        <v>0</v>
      </c>
      <c r="E14" s="40">
        <v>0</v>
      </c>
      <c r="F14" s="40">
        <v>0</v>
      </c>
      <c r="G14" s="5">
        <f>C14+E14</f>
        <v>0</v>
      </c>
      <c r="H14" s="5">
        <f>D14+F14</f>
        <v>0</v>
      </c>
    </row>
    <row r="15" spans="1:9" ht="12.75">
      <c r="A15" s="101">
        <f>A14+1</f>
        <v>2</v>
      </c>
      <c r="B15" s="104"/>
      <c r="C15" s="5"/>
      <c r="D15" s="5"/>
      <c r="E15" s="5"/>
      <c r="F15" s="5"/>
      <c r="G15" s="5"/>
      <c r="H15" s="5"/>
    </row>
    <row r="16" spans="1:9" ht="12.75">
      <c r="A16" s="101">
        <v>3</v>
      </c>
      <c r="B16" s="104"/>
      <c r="C16" s="5"/>
      <c r="D16" s="5"/>
      <c r="E16" s="5"/>
      <c r="F16" s="5"/>
      <c r="G16" s="5"/>
      <c r="H16" s="5"/>
    </row>
    <row r="17" spans="1:8" ht="12.75">
      <c r="A17" s="101">
        <v>4</v>
      </c>
      <c r="B17" s="45" t="s">
        <v>142</v>
      </c>
      <c r="C17" s="40">
        <v>0</v>
      </c>
      <c r="D17" s="40">
        <v>0</v>
      </c>
      <c r="E17" s="40">
        <v>0</v>
      </c>
      <c r="F17" s="40">
        <v>0</v>
      </c>
      <c r="G17" s="5">
        <f>C17+E17</f>
        <v>0</v>
      </c>
      <c r="H17" s="5">
        <f>D17+F17</f>
        <v>0</v>
      </c>
    </row>
    <row r="18" spans="1:8" ht="12.75">
      <c r="A18" s="101">
        <v>5</v>
      </c>
      <c r="B18" s="45"/>
      <c r="C18" s="5"/>
      <c r="D18" s="5"/>
      <c r="E18" s="5"/>
      <c r="F18" s="5"/>
      <c r="G18" s="5"/>
      <c r="H18" s="5"/>
    </row>
    <row r="19" spans="1:8" ht="12.75">
      <c r="A19" s="101">
        <f>A18+1</f>
        <v>6</v>
      </c>
      <c r="B19" s="45"/>
      <c r="C19" s="5"/>
      <c r="D19" s="5"/>
      <c r="E19" s="5"/>
      <c r="F19" s="5"/>
      <c r="G19" s="5"/>
      <c r="H19" s="5"/>
    </row>
    <row r="20" spans="1:8" ht="12.75">
      <c r="A20" s="101">
        <v>7</v>
      </c>
      <c r="B20" s="45" t="s">
        <v>143</v>
      </c>
      <c r="C20" s="40">
        <v>0</v>
      </c>
      <c r="D20" s="40">
        <v>0</v>
      </c>
      <c r="E20" s="40">
        <v>0</v>
      </c>
      <c r="F20" s="40">
        <v>0</v>
      </c>
      <c r="G20" s="5">
        <f>C20+E20</f>
        <v>0</v>
      </c>
      <c r="H20" s="5">
        <f>D20+F20</f>
        <v>0</v>
      </c>
    </row>
    <row r="21" spans="1:8" ht="12.75">
      <c r="A21" s="101">
        <f>A20+1</f>
        <v>8</v>
      </c>
      <c r="B21" s="45"/>
      <c r="C21" s="5"/>
      <c r="D21" s="5"/>
      <c r="E21" s="5"/>
      <c r="F21" s="5"/>
      <c r="G21" s="5"/>
      <c r="H21" s="5"/>
    </row>
    <row r="22" spans="1:8" ht="12.75">
      <c r="A22" s="101">
        <v>9</v>
      </c>
      <c r="B22" s="45"/>
      <c r="C22" s="5"/>
      <c r="D22" s="5"/>
      <c r="E22" s="5"/>
      <c r="F22" s="5"/>
      <c r="G22" s="5"/>
      <c r="H22" s="5"/>
    </row>
    <row r="23" spans="1:8" ht="12.75">
      <c r="A23" s="101">
        <f>A22+1</f>
        <v>10</v>
      </c>
      <c r="B23" s="45" t="s">
        <v>144</v>
      </c>
      <c r="C23" s="40">
        <v>0</v>
      </c>
      <c r="D23" s="40">
        <v>0</v>
      </c>
      <c r="E23" s="40">
        <v>0</v>
      </c>
      <c r="F23" s="40">
        <v>0</v>
      </c>
      <c r="G23" s="5">
        <f>C23+E23</f>
        <v>0</v>
      </c>
      <c r="H23" s="5">
        <f>D23+F23</f>
        <v>0</v>
      </c>
    </row>
    <row r="24" spans="1:8" ht="12.75">
      <c r="A24" s="101">
        <v>11</v>
      </c>
      <c r="B24" s="45" t="s">
        <v>145</v>
      </c>
      <c r="C24" s="5"/>
      <c r="D24" s="5"/>
      <c r="E24" s="5"/>
      <c r="F24" s="5"/>
      <c r="G24" s="5"/>
      <c r="H24" s="5"/>
    </row>
    <row r="25" spans="1:8" ht="12.75">
      <c r="A25" s="101">
        <f>A24+1</f>
        <v>12</v>
      </c>
      <c r="B25" s="45"/>
      <c r="C25" s="5"/>
      <c r="D25" s="5"/>
      <c r="E25" s="5"/>
      <c r="F25" s="5"/>
      <c r="G25" s="5"/>
      <c r="H25" s="5"/>
    </row>
    <row r="26" spans="1:8" ht="12.75">
      <c r="A26" s="101">
        <v>13</v>
      </c>
      <c r="B26" s="45" t="s">
        <v>146</v>
      </c>
      <c r="C26" s="40">
        <v>0</v>
      </c>
      <c r="D26" s="40">
        <v>0</v>
      </c>
      <c r="E26" s="40">
        <v>0</v>
      </c>
      <c r="F26" s="40">
        <v>0</v>
      </c>
      <c r="G26" s="5">
        <f>C26+E26</f>
        <v>0</v>
      </c>
      <c r="H26" s="5">
        <f>D26+F26</f>
        <v>0</v>
      </c>
    </row>
    <row r="27" spans="1:8" ht="12.75">
      <c r="A27" s="101">
        <f>A26+1</f>
        <v>14</v>
      </c>
      <c r="B27" s="45"/>
      <c r="C27" s="5"/>
      <c r="D27" s="5"/>
      <c r="E27" s="5"/>
      <c r="F27" s="5"/>
      <c r="G27" s="5"/>
      <c r="H27" s="5"/>
    </row>
    <row r="28" spans="1:8" ht="12.75">
      <c r="A28" s="101">
        <v>15</v>
      </c>
      <c r="B28" s="45"/>
      <c r="C28" s="5"/>
      <c r="D28" s="5"/>
      <c r="E28" s="5"/>
      <c r="F28" s="5"/>
      <c r="G28" s="5"/>
      <c r="H28" s="5"/>
    </row>
    <row r="29" spans="1:8" ht="12.75">
      <c r="A29" s="101">
        <f>A28+1</f>
        <v>16</v>
      </c>
      <c r="B29" s="45" t="s">
        <v>147</v>
      </c>
      <c r="C29" s="40">
        <v>0</v>
      </c>
      <c r="D29" s="40">
        <v>0</v>
      </c>
      <c r="E29" s="40">
        <v>0</v>
      </c>
      <c r="F29" s="40">
        <v>0</v>
      </c>
      <c r="G29" s="5">
        <f>C29+E29</f>
        <v>0</v>
      </c>
      <c r="H29" s="5">
        <f>D29+F29</f>
        <v>0</v>
      </c>
    </row>
    <row r="30" spans="1:8" ht="12.75">
      <c r="A30" s="101">
        <v>17</v>
      </c>
      <c r="B30" s="45"/>
      <c r="C30" s="5"/>
      <c r="D30" s="5"/>
      <c r="E30" s="5"/>
      <c r="F30" s="5"/>
      <c r="G30" s="5"/>
      <c r="H30" s="5"/>
    </row>
    <row r="31" spans="1:8" ht="12.75">
      <c r="A31" s="101">
        <f>A30+1</f>
        <v>18</v>
      </c>
      <c r="B31" s="45"/>
      <c r="C31" s="5"/>
      <c r="D31" s="5"/>
      <c r="E31" s="5"/>
      <c r="F31" s="5"/>
      <c r="G31" s="5"/>
      <c r="H31" s="5"/>
    </row>
    <row r="32" spans="1:8" ht="12.75">
      <c r="A32" s="101">
        <v>19</v>
      </c>
      <c r="B32" s="45" t="s">
        <v>148</v>
      </c>
      <c r="C32" s="40">
        <v>0</v>
      </c>
      <c r="D32" s="40">
        <v>0</v>
      </c>
      <c r="E32" s="40">
        <v>0</v>
      </c>
      <c r="F32" s="40">
        <v>0</v>
      </c>
      <c r="G32" s="5">
        <f>C32+E32</f>
        <v>0</v>
      </c>
      <c r="H32" s="5">
        <f>D32+F32</f>
        <v>0</v>
      </c>
    </row>
    <row r="33" spans="1:8" ht="12.75">
      <c r="A33" s="101">
        <f>A32+1</f>
        <v>20</v>
      </c>
      <c r="B33" s="45"/>
      <c r="C33" s="5"/>
      <c r="D33" s="5"/>
      <c r="E33" s="5"/>
      <c r="F33" s="5"/>
      <c r="G33" s="5"/>
      <c r="H33" s="5"/>
    </row>
    <row r="34" spans="1:8" ht="12.75">
      <c r="A34" s="101">
        <v>21</v>
      </c>
      <c r="B34" s="45"/>
      <c r="C34" s="5"/>
      <c r="D34" s="5"/>
      <c r="E34" s="5"/>
      <c r="F34" s="5"/>
      <c r="G34" s="5"/>
      <c r="H34" s="5"/>
    </row>
    <row r="35" spans="1:8" ht="12.75">
      <c r="A35" s="101">
        <f>A34+1</f>
        <v>22</v>
      </c>
      <c r="B35" s="45" t="s">
        <v>149</v>
      </c>
      <c r="C35" s="40">
        <v>0</v>
      </c>
      <c r="D35" s="40">
        <v>0</v>
      </c>
      <c r="E35" s="40">
        <v>0</v>
      </c>
      <c r="F35" s="40">
        <v>0</v>
      </c>
      <c r="G35" s="5">
        <f>C35+E35</f>
        <v>0</v>
      </c>
      <c r="H35" s="5">
        <f>D35+F35</f>
        <v>0</v>
      </c>
    </row>
    <row r="36" spans="1:8" ht="12.75">
      <c r="A36" s="101">
        <v>23</v>
      </c>
      <c r="B36" s="45"/>
      <c r="C36" s="5"/>
      <c r="D36" s="5"/>
      <c r="E36" s="5"/>
      <c r="F36" s="5"/>
      <c r="G36" s="5"/>
      <c r="H36" s="5"/>
    </row>
    <row r="37" spans="1:8" ht="12.75">
      <c r="A37" s="101">
        <f>A36+1</f>
        <v>24</v>
      </c>
      <c r="B37" s="45"/>
      <c r="C37" s="5"/>
      <c r="D37" s="5"/>
      <c r="E37" s="5"/>
      <c r="F37" s="5"/>
      <c r="G37" s="5"/>
      <c r="H37" s="5"/>
    </row>
    <row r="38" spans="1:8" ht="21.75" customHeight="1">
      <c r="A38" s="101">
        <v>25</v>
      </c>
      <c r="B38" s="45" t="s">
        <v>150</v>
      </c>
      <c r="C38" s="40">
        <v>0</v>
      </c>
      <c r="D38" s="40">
        <v>0</v>
      </c>
      <c r="E38" s="40">
        <v>0</v>
      </c>
      <c r="F38" s="40">
        <v>0</v>
      </c>
      <c r="G38" s="5">
        <f>C38+E38</f>
        <v>0</v>
      </c>
      <c r="H38" s="5">
        <f>D38+F38</f>
        <v>0</v>
      </c>
    </row>
    <row r="39" spans="1:8" ht="12.75">
      <c r="A39" s="101">
        <f>A38+1</f>
        <v>26</v>
      </c>
      <c r="B39" s="45"/>
      <c r="C39" s="5"/>
      <c r="D39" s="5"/>
      <c r="E39" s="5"/>
      <c r="F39" s="5"/>
      <c r="G39" s="5"/>
      <c r="H39" s="5"/>
    </row>
    <row r="40" spans="1:8" ht="12.75">
      <c r="A40" s="101">
        <v>27</v>
      </c>
      <c r="B40" s="45"/>
      <c r="C40" s="5"/>
      <c r="D40" s="5"/>
      <c r="E40" s="5"/>
      <c r="F40" s="5"/>
      <c r="G40" s="5"/>
      <c r="H40" s="5"/>
    </row>
    <row r="41" spans="1:8" ht="16.5" customHeight="1">
      <c r="A41" s="101">
        <f>A40+1</f>
        <v>28</v>
      </c>
      <c r="B41" s="45" t="s">
        <v>151</v>
      </c>
      <c r="C41" s="40">
        <v>0</v>
      </c>
      <c r="D41" s="40">
        <v>0</v>
      </c>
      <c r="E41" s="40">
        <v>0</v>
      </c>
      <c r="F41" s="40">
        <v>0</v>
      </c>
      <c r="G41" s="5">
        <f>C41+E41</f>
        <v>0</v>
      </c>
      <c r="H41" s="5">
        <f>D41+F41</f>
        <v>0</v>
      </c>
    </row>
    <row r="42" spans="1:8" ht="12.75">
      <c r="A42" s="101">
        <v>29</v>
      </c>
      <c r="B42" s="45"/>
      <c r="C42" s="5"/>
      <c r="D42" s="5"/>
      <c r="E42" s="5"/>
      <c r="F42" s="5"/>
      <c r="G42" s="5"/>
      <c r="H42" s="5"/>
    </row>
    <row r="43" spans="1:8" ht="12.75">
      <c r="A43" s="101">
        <f>A42+1</f>
        <v>30</v>
      </c>
      <c r="B43" s="45"/>
      <c r="C43" s="5"/>
      <c r="D43" s="5"/>
      <c r="E43" s="5"/>
      <c r="F43" s="5"/>
      <c r="G43" s="5"/>
      <c r="H43" s="5"/>
    </row>
    <row r="44" spans="1:8" ht="25.5">
      <c r="A44" s="101">
        <v>31</v>
      </c>
      <c r="B44" s="45" t="s">
        <v>152</v>
      </c>
      <c r="C44" s="40">
        <v>0</v>
      </c>
      <c r="D44" s="40">
        <v>0</v>
      </c>
      <c r="E44" s="40">
        <v>0</v>
      </c>
      <c r="F44" s="40">
        <v>0</v>
      </c>
      <c r="G44" s="5">
        <f>C44+E44</f>
        <v>0</v>
      </c>
      <c r="H44" s="5">
        <f>D44+F44</f>
        <v>0</v>
      </c>
    </row>
    <row r="45" spans="1:8" ht="12.75">
      <c r="A45" s="101">
        <f>A44+1</f>
        <v>32</v>
      </c>
      <c r="B45" s="45"/>
      <c r="C45" s="5"/>
      <c r="D45" s="5"/>
      <c r="E45" s="5"/>
      <c r="F45" s="5"/>
      <c r="G45" s="5"/>
      <c r="H45" s="5"/>
    </row>
    <row r="46" spans="1:8" ht="12.75">
      <c r="A46" s="101">
        <v>33</v>
      </c>
      <c r="B46" s="45"/>
      <c r="C46" s="5"/>
      <c r="D46" s="5"/>
      <c r="E46" s="5"/>
      <c r="F46" s="5"/>
      <c r="G46" s="5"/>
      <c r="H46" s="5"/>
    </row>
    <row r="47" spans="1:8" ht="12.75">
      <c r="A47" s="101">
        <f>A46+1</f>
        <v>34</v>
      </c>
      <c r="B47" s="45" t="s">
        <v>153</v>
      </c>
      <c r="C47" s="40">
        <v>0</v>
      </c>
      <c r="D47" s="40">
        <v>0</v>
      </c>
      <c r="E47" s="40">
        <v>0</v>
      </c>
      <c r="F47" s="40">
        <v>0</v>
      </c>
      <c r="G47" s="5">
        <f>C47+E47</f>
        <v>0</v>
      </c>
      <c r="H47" s="5">
        <f>D47+F47</f>
        <v>0</v>
      </c>
    </row>
    <row r="48" spans="1:8" ht="12.75">
      <c r="A48" s="101">
        <v>35</v>
      </c>
      <c r="B48" s="45"/>
      <c r="C48" s="5"/>
      <c r="D48" s="5"/>
      <c r="E48" s="5"/>
      <c r="F48" s="5"/>
      <c r="G48" s="5"/>
      <c r="H48" s="5"/>
    </row>
    <row r="49" spans="1:8" ht="12.75">
      <c r="A49" s="101">
        <f>A48+1</f>
        <v>36</v>
      </c>
      <c r="B49" s="45"/>
      <c r="C49" s="5"/>
      <c r="D49" s="5"/>
      <c r="E49" s="5"/>
      <c r="F49" s="5"/>
      <c r="G49" s="5"/>
      <c r="H49" s="5"/>
    </row>
    <row r="50" spans="1:8" ht="12.75">
      <c r="A50" s="101">
        <v>37</v>
      </c>
      <c r="B50" s="45" t="s">
        <v>154</v>
      </c>
      <c r="C50" s="40">
        <v>0</v>
      </c>
      <c r="D50" s="40">
        <v>0</v>
      </c>
      <c r="E50" s="40">
        <v>0</v>
      </c>
      <c r="F50" s="40">
        <v>0</v>
      </c>
      <c r="G50" s="5">
        <f>C50+E50</f>
        <v>0</v>
      </c>
      <c r="H50" s="5">
        <f>D50+F50</f>
        <v>0</v>
      </c>
    </row>
    <row r="51" spans="1:8" ht="12.75">
      <c r="A51" s="101">
        <f>A50+1</f>
        <v>38</v>
      </c>
      <c r="B51" s="45"/>
      <c r="C51" s="5"/>
      <c r="D51" s="5"/>
      <c r="E51" s="5"/>
      <c r="F51" s="5"/>
      <c r="G51" s="5"/>
      <c r="H51" s="5"/>
    </row>
    <row r="52" spans="1:8" ht="12.75">
      <c r="A52" s="101">
        <v>39</v>
      </c>
      <c r="B52" s="45"/>
      <c r="C52" s="5"/>
      <c r="D52" s="5"/>
      <c r="E52" s="5"/>
      <c r="F52" s="5"/>
      <c r="G52" s="5"/>
      <c r="H52" s="5"/>
    </row>
    <row r="53" spans="1:8" ht="18" customHeight="1">
      <c r="A53" s="101">
        <f>A52+1</f>
        <v>40</v>
      </c>
      <c r="B53" s="45" t="s">
        <v>155</v>
      </c>
      <c r="C53" s="40">
        <v>0</v>
      </c>
      <c r="D53" s="40">
        <v>0</v>
      </c>
      <c r="E53" s="40">
        <v>0</v>
      </c>
      <c r="F53" s="40">
        <v>0</v>
      </c>
      <c r="G53" s="5">
        <f>C53+E53</f>
        <v>0</v>
      </c>
      <c r="H53" s="5">
        <f>D53+F53</f>
        <v>0</v>
      </c>
    </row>
    <row r="54" spans="1:8" ht="12.75">
      <c r="A54" s="101">
        <v>41</v>
      </c>
      <c r="B54" s="45"/>
      <c r="C54" s="5"/>
      <c r="D54" s="5"/>
      <c r="E54" s="5"/>
      <c r="F54" s="5"/>
      <c r="G54" s="5"/>
      <c r="H54" s="5"/>
    </row>
    <row r="55" spans="1:8" ht="12.75">
      <c r="A55" s="101">
        <f>A54+1</f>
        <v>42</v>
      </c>
      <c r="B55" s="45"/>
      <c r="C55" s="5"/>
      <c r="D55" s="5"/>
      <c r="E55" s="5"/>
      <c r="F55" s="5"/>
      <c r="G55" s="5"/>
      <c r="H55" s="5"/>
    </row>
    <row r="56" spans="1:8" ht="12.75">
      <c r="A56" s="101">
        <v>43</v>
      </c>
      <c r="B56" s="45" t="s">
        <v>156</v>
      </c>
      <c r="C56" s="40">
        <v>0</v>
      </c>
      <c r="D56" s="40">
        <v>0</v>
      </c>
      <c r="E56" s="40">
        <v>0</v>
      </c>
      <c r="F56" s="40">
        <v>0</v>
      </c>
      <c r="G56" s="5">
        <f>C56+E56</f>
        <v>0</v>
      </c>
      <c r="H56" s="5">
        <f>D56+F56</f>
        <v>0</v>
      </c>
    </row>
    <row r="57" spans="1:8" ht="12.75">
      <c r="A57" s="101">
        <f>A56+1</f>
        <v>44</v>
      </c>
      <c r="B57" s="105"/>
      <c r="C57" s="5"/>
      <c r="D57" s="5"/>
      <c r="E57" s="5"/>
      <c r="F57" s="5"/>
      <c r="G57" s="5"/>
      <c r="H57" s="5"/>
    </row>
    <row r="58" spans="1:8" ht="12.75">
      <c r="A58" s="101">
        <v>45</v>
      </c>
      <c r="B58" s="45"/>
      <c r="C58" s="5"/>
      <c r="D58" s="5"/>
      <c r="E58" s="5"/>
      <c r="F58" s="5"/>
      <c r="G58" s="5"/>
      <c r="H58" s="5"/>
    </row>
    <row r="59" spans="1:8" ht="12.75">
      <c r="A59" s="101">
        <f>A58+1</f>
        <v>46</v>
      </c>
      <c r="B59" s="45" t="s">
        <v>157</v>
      </c>
      <c r="C59" s="40">
        <v>0</v>
      </c>
      <c r="D59" s="40">
        <v>0</v>
      </c>
      <c r="E59" s="40">
        <v>0</v>
      </c>
      <c r="F59" s="40">
        <v>0</v>
      </c>
      <c r="G59" s="5">
        <f>C59+E59</f>
        <v>0</v>
      </c>
      <c r="H59" s="5">
        <f>D59+F59</f>
        <v>0</v>
      </c>
    </row>
    <row r="60" spans="1:8" ht="12.75">
      <c r="A60" s="101">
        <v>47</v>
      </c>
      <c r="B60" s="45"/>
      <c r="C60" s="5"/>
      <c r="D60" s="5"/>
      <c r="E60" s="5"/>
      <c r="F60" s="5"/>
      <c r="G60" s="5"/>
      <c r="H60" s="5"/>
    </row>
    <row r="61" spans="1:8" ht="12.75">
      <c r="A61" s="101">
        <f>A60+1</f>
        <v>48</v>
      </c>
      <c r="B61" s="45"/>
      <c r="C61" s="5"/>
      <c r="D61" s="5"/>
      <c r="E61" s="5"/>
      <c r="F61" s="5"/>
      <c r="G61" s="5"/>
      <c r="H61" s="5"/>
    </row>
    <row r="62" spans="1:8" ht="12.75">
      <c r="A62" s="101">
        <v>49</v>
      </c>
      <c r="B62" s="45" t="s">
        <v>158</v>
      </c>
      <c r="C62" s="40">
        <v>0</v>
      </c>
      <c r="D62" s="40">
        <v>0</v>
      </c>
      <c r="E62" s="40">
        <v>0</v>
      </c>
      <c r="F62" s="40">
        <v>0</v>
      </c>
      <c r="G62" s="5">
        <f>C62+E62</f>
        <v>0</v>
      </c>
      <c r="H62" s="5">
        <f>D62+F62</f>
        <v>0</v>
      </c>
    </row>
    <row r="63" spans="1:8" ht="12.75">
      <c r="A63" s="101">
        <f>A62+1</f>
        <v>50</v>
      </c>
      <c r="B63" s="45"/>
      <c r="C63" s="5"/>
      <c r="D63" s="5"/>
      <c r="E63" s="5"/>
      <c r="F63" s="5"/>
      <c r="G63" s="5"/>
      <c r="H63" s="5"/>
    </row>
    <row r="64" spans="1:8" ht="12.75">
      <c r="A64" s="101">
        <v>51</v>
      </c>
      <c r="B64" s="45"/>
      <c r="C64" s="5"/>
      <c r="D64" s="5"/>
      <c r="E64" s="5"/>
      <c r="F64" s="5"/>
      <c r="G64" s="5"/>
      <c r="H64" s="5"/>
    </row>
    <row r="65" spans="1:8" ht="12.75">
      <c r="A65" s="101">
        <f>A64+1</f>
        <v>52</v>
      </c>
      <c r="B65" s="45" t="s">
        <v>159</v>
      </c>
      <c r="C65" s="40">
        <v>0</v>
      </c>
      <c r="D65" s="40">
        <v>0</v>
      </c>
      <c r="E65" s="40">
        <v>0</v>
      </c>
      <c r="F65" s="40">
        <v>0</v>
      </c>
      <c r="G65" s="5">
        <f>C65+E65</f>
        <v>0</v>
      </c>
      <c r="H65" s="5">
        <f>D65+F65</f>
        <v>0</v>
      </c>
    </row>
    <row r="66" spans="1:8" ht="12.75">
      <c r="A66" s="101">
        <v>53</v>
      </c>
      <c r="B66" s="45"/>
      <c r="C66" s="5"/>
      <c r="D66" s="5"/>
      <c r="E66" s="5"/>
      <c r="F66" s="5"/>
      <c r="G66" s="5"/>
      <c r="H66" s="5"/>
    </row>
    <row r="67" spans="1:8" ht="12.75">
      <c r="A67" s="101">
        <f>A66+1</f>
        <v>54</v>
      </c>
      <c r="B67" s="45"/>
      <c r="C67" s="5"/>
      <c r="D67" s="5"/>
      <c r="E67" s="5"/>
      <c r="F67" s="5"/>
      <c r="G67" s="5"/>
      <c r="H67" s="5"/>
    </row>
    <row r="68" spans="1:8" ht="12.75">
      <c r="A68" s="101">
        <v>55</v>
      </c>
      <c r="B68" s="45" t="s">
        <v>160</v>
      </c>
      <c r="C68" s="40">
        <v>0</v>
      </c>
      <c r="D68" s="40">
        <v>0</v>
      </c>
      <c r="E68" s="40">
        <v>0</v>
      </c>
      <c r="F68" s="40">
        <v>0</v>
      </c>
      <c r="G68" s="5">
        <f>C68+E68</f>
        <v>0</v>
      </c>
      <c r="H68" s="5">
        <f>D68+F68</f>
        <v>0</v>
      </c>
    </row>
    <row r="69" spans="1:8" ht="12.75">
      <c r="A69" s="101">
        <f>A68+1</f>
        <v>56</v>
      </c>
      <c r="B69" s="45"/>
      <c r="C69" s="5"/>
      <c r="D69" s="5"/>
      <c r="E69" s="5"/>
      <c r="F69" s="5"/>
      <c r="G69" s="5"/>
      <c r="H69" s="5"/>
    </row>
    <row r="70" spans="1:8" ht="12.75">
      <c r="A70" s="101">
        <v>57</v>
      </c>
      <c r="B70" s="45"/>
      <c r="C70" s="5"/>
      <c r="D70" s="5"/>
      <c r="E70" s="5"/>
      <c r="F70" s="5"/>
      <c r="G70" s="5"/>
      <c r="H70" s="5"/>
    </row>
    <row r="71" spans="1:8" ht="12.75">
      <c r="A71" s="101">
        <f>A70+1</f>
        <v>58</v>
      </c>
      <c r="B71" s="45" t="s">
        <v>161</v>
      </c>
      <c r="C71" s="40">
        <v>0</v>
      </c>
      <c r="D71" s="40">
        <v>0</v>
      </c>
      <c r="E71" s="40">
        <v>0</v>
      </c>
      <c r="F71" s="40">
        <v>0</v>
      </c>
      <c r="G71" s="5">
        <f>C71+E71</f>
        <v>0</v>
      </c>
      <c r="H71" s="5">
        <f>D71+F71</f>
        <v>0</v>
      </c>
    </row>
    <row r="72" spans="1:8" ht="12.75">
      <c r="A72" s="101">
        <v>59</v>
      </c>
      <c r="B72" s="45"/>
      <c r="C72" s="5"/>
      <c r="D72" s="5"/>
      <c r="E72" s="5"/>
      <c r="F72" s="5"/>
      <c r="G72" s="5"/>
      <c r="H72" s="5"/>
    </row>
    <row r="73" spans="1:8" ht="12.75">
      <c r="A73" s="101">
        <f>A72+1</f>
        <v>60</v>
      </c>
      <c r="B73" s="45"/>
      <c r="C73" s="5"/>
      <c r="D73" s="5"/>
      <c r="E73" s="5"/>
      <c r="F73" s="5"/>
      <c r="G73" s="5"/>
      <c r="H73" s="5"/>
    </row>
    <row r="74" spans="1:8" ht="12.75">
      <c r="A74" s="101">
        <v>61</v>
      </c>
      <c r="B74" s="45" t="s">
        <v>162</v>
      </c>
      <c r="C74" s="40">
        <v>0</v>
      </c>
      <c r="D74" s="40">
        <v>0</v>
      </c>
      <c r="E74" s="40">
        <v>0</v>
      </c>
      <c r="F74" s="40">
        <v>0</v>
      </c>
      <c r="G74" s="5">
        <f>C74+E74</f>
        <v>0</v>
      </c>
      <c r="H74" s="5">
        <f>D74+F74</f>
        <v>0</v>
      </c>
    </row>
    <row r="75" spans="1:8" ht="12.75">
      <c r="A75" s="101">
        <f>A74+1</f>
        <v>62</v>
      </c>
      <c r="B75" s="45"/>
      <c r="C75" s="5"/>
      <c r="D75" s="5"/>
      <c r="E75" s="5"/>
      <c r="F75" s="5"/>
      <c r="G75" s="5"/>
      <c r="H75" s="5"/>
    </row>
    <row r="76" spans="1:8" ht="12.75">
      <c r="A76" s="101">
        <v>63</v>
      </c>
      <c r="B76" s="45"/>
      <c r="C76" s="5"/>
      <c r="D76" s="5"/>
      <c r="E76" s="5"/>
      <c r="F76" s="5"/>
      <c r="G76" s="5"/>
      <c r="H76" s="5"/>
    </row>
    <row r="77" spans="1:8" ht="12.75">
      <c r="A77" s="101">
        <f>A76+1</f>
        <v>64</v>
      </c>
      <c r="B77" s="45" t="s">
        <v>163</v>
      </c>
      <c r="C77" s="40">
        <v>0</v>
      </c>
      <c r="D77" s="40">
        <v>0</v>
      </c>
      <c r="E77" s="40">
        <v>0</v>
      </c>
      <c r="F77" s="40">
        <v>0</v>
      </c>
      <c r="G77" s="5">
        <f>C77+E77</f>
        <v>0</v>
      </c>
      <c r="H77" s="5">
        <f>D77+F77</f>
        <v>0</v>
      </c>
    </row>
    <row r="78" spans="1:8" ht="12.75">
      <c r="A78" s="101">
        <v>65</v>
      </c>
      <c r="B78" s="45"/>
      <c r="C78" s="5"/>
      <c r="D78" s="5"/>
      <c r="E78" s="5"/>
      <c r="F78" s="5"/>
      <c r="G78" s="5"/>
      <c r="H78" s="5"/>
    </row>
    <row r="79" spans="1:8" ht="12.75">
      <c r="A79" s="101">
        <f>A78+1</f>
        <v>66</v>
      </c>
      <c r="B79" s="45"/>
      <c r="C79" s="5"/>
      <c r="D79" s="5"/>
      <c r="E79" s="5"/>
      <c r="F79" s="5"/>
      <c r="G79" s="5"/>
      <c r="H79" s="5"/>
    </row>
    <row r="80" spans="1:8" ht="12.75">
      <c r="A80" s="101">
        <v>67</v>
      </c>
      <c r="B80" s="45" t="s">
        <v>235</v>
      </c>
      <c r="C80" s="107">
        <f t="shared" ref="C80:H80" si="0">C14+C17+C20+C23+C26+C29+C32+C35+C38+C41+C44+C47+C50+C53+C56+C59+C62+C65+C68+C71+C74+C77</f>
        <v>0</v>
      </c>
      <c r="D80" s="107">
        <f t="shared" si="0"/>
        <v>0</v>
      </c>
      <c r="E80" s="107">
        <f t="shared" si="0"/>
        <v>0</v>
      </c>
      <c r="F80" s="107">
        <f t="shared" si="0"/>
        <v>0</v>
      </c>
      <c r="G80" s="107">
        <f t="shared" si="0"/>
        <v>0</v>
      </c>
      <c r="H80" s="107">
        <f t="shared" si="0"/>
        <v>0</v>
      </c>
    </row>
    <row r="82" spans="1:2">
      <c r="A82" s="153"/>
      <c r="B82" s="153"/>
    </row>
  </sheetData>
  <mergeCells count="6">
    <mergeCell ref="D2:F2"/>
    <mergeCell ref="A11:A12"/>
    <mergeCell ref="B11:B12"/>
    <mergeCell ref="C11:D11"/>
    <mergeCell ref="E11:F11"/>
    <mergeCell ref="G11:H11"/>
  </mergeCells>
  <dataValidations count="1">
    <dataValidation type="decimal" allowBlank="1" showInputMessage="1" showErrorMessage="1" sqref="C14:H14 C17:H17 C20:H20 C23:H23 C26:H26 C29:H29 C32:H32 C35:H35 C38:H38 C41:H41 C44:H44 C47:H47 C50:H50 C53:H53 C56:H56 C59:H59 C62:H62 C65:H65 C68:H68 C71:H71 C74:H74 C77:H77" xr:uid="{4CFA6CB0-FA36-497E-88E5-B9AFE9EE9167}">
      <formula1>-999999999999</formula1>
      <formula2>999999999999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FCEA-1EF2-46A2-B9EE-8525F5E3D595}">
  <dimension ref="A1:Q252"/>
  <sheetViews>
    <sheetView workbookViewId="0">
      <selection sqref="A1:XFD1048576"/>
    </sheetView>
  </sheetViews>
  <sheetFormatPr defaultColWidth="8.85546875" defaultRowHeight="12.75"/>
  <cols>
    <col min="1" max="1" width="8.85546875" style="54"/>
    <col min="2" max="2" width="26.42578125" style="54" customWidth="1"/>
    <col min="3" max="3" width="13" style="54" customWidth="1"/>
    <col min="4" max="4" width="11.42578125" style="54" customWidth="1"/>
    <col min="5" max="5" width="16.5703125" style="54" customWidth="1"/>
    <col min="6" max="6" width="12.140625" style="54" customWidth="1"/>
    <col min="7" max="7" width="10.140625" style="54" customWidth="1"/>
    <col min="8" max="8" width="19.85546875" style="54" bestFit="1" customWidth="1"/>
    <col min="9" max="9" width="16.5703125" style="54" bestFit="1" customWidth="1"/>
    <col min="10" max="11" width="12.140625" style="54" customWidth="1"/>
    <col min="12" max="12" width="19.85546875" style="54" bestFit="1" customWidth="1"/>
    <col min="13" max="13" width="16.5703125" style="54" bestFit="1" customWidth="1"/>
    <col min="14" max="14" width="19" style="54" customWidth="1"/>
    <col min="15" max="15" width="17.5703125" style="54" customWidth="1"/>
    <col min="16" max="16" width="20.5703125" style="54" customWidth="1"/>
    <col min="17" max="17" width="22.5703125" style="54" customWidth="1"/>
    <col min="18" max="16384" width="8.85546875" style="54"/>
  </cols>
  <sheetData>
    <row r="1" spans="1:17">
      <c r="G1" s="116"/>
    </row>
    <row r="2" spans="1:17">
      <c r="A2" s="118" t="s">
        <v>200</v>
      </c>
      <c r="B2" s="126"/>
      <c r="C2" s="160"/>
      <c r="D2" s="158"/>
      <c r="E2" s="160"/>
      <c r="F2" s="158"/>
      <c r="G2" s="116"/>
      <c r="H2" s="274" t="str">
        <f>[1]MSP2_01!C2</f>
        <v>TESTING MSP</v>
      </c>
      <c r="I2" s="275"/>
      <c r="J2" s="275"/>
      <c r="K2" s="275"/>
      <c r="L2" s="276"/>
      <c r="M2" s="276"/>
      <c r="N2" s="277"/>
      <c r="O2" s="277"/>
      <c r="P2" s="276"/>
      <c r="Q2" s="276"/>
    </row>
    <row r="3" spans="1:17">
      <c r="A3" s="9"/>
      <c r="B3" s="126"/>
      <c r="C3" s="160"/>
      <c r="D3" s="158"/>
      <c r="E3" s="160"/>
      <c r="F3" s="158"/>
      <c r="G3" s="116"/>
      <c r="H3" s="278"/>
      <c r="I3" s="279"/>
      <c r="J3" s="279"/>
      <c r="K3" s="279"/>
      <c r="L3" s="278"/>
      <c r="M3" s="278"/>
      <c r="N3" s="280"/>
      <c r="O3" s="280"/>
      <c r="P3" s="278"/>
      <c r="Q3" s="278"/>
    </row>
    <row r="4" spans="1:17">
      <c r="A4" s="9" t="s">
        <v>2</v>
      </c>
      <c r="B4" s="126"/>
      <c r="C4" s="160"/>
      <c r="D4" s="158"/>
      <c r="E4" s="160"/>
      <c r="F4" s="158"/>
      <c r="G4" s="116"/>
      <c r="H4" s="281" t="str">
        <f>[1]MSP2_01!C4</f>
        <v>M001</v>
      </c>
      <c r="I4" s="282"/>
      <c r="J4" s="282"/>
      <c r="K4" s="282"/>
      <c r="L4" s="283"/>
      <c r="M4" s="283"/>
      <c r="N4" s="277"/>
      <c r="O4" s="277"/>
      <c r="P4" s="283"/>
      <c r="Q4" s="283"/>
    </row>
    <row r="5" spans="1:17">
      <c r="A5" s="126"/>
      <c r="B5" s="126"/>
      <c r="C5" s="160" t="s">
        <v>145</v>
      </c>
      <c r="E5" s="160"/>
      <c r="F5" s="158"/>
      <c r="G5" s="116"/>
      <c r="H5" s="278"/>
      <c r="I5" s="282"/>
      <c r="J5" s="282"/>
      <c r="K5" s="282"/>
      <c r="L5" s="278"/>
      <c r="M5" s="278"/>
      <c r="N5" s="277"/>
      <c r="O5" s="277"/>
      <c r="P5" s="278"/>
      <c r="Q5" s="278"/>
    </row>
    <row r="6" spans="1:17">
      <c r="A6" s="284" t="s">
        <v>309</v>
      </c>
      <c r="B6" s="284"/>
      <c r="C6" s="285"/>
      <c r="D6" s="285"/>
      <c r="E6" s="285"/>
      <c r="F6" s="285"/>
      <c r="G6" s="278"/>
      <c r="H6" s="286">
        <f>[1]MSP2_01!C6</f>
        <v>44561</v>
      </c>
      <c r="I6" s="282"/>
      <c r="J6" s="282"/>
      <c r="K6" s="282"/>
      <c r="L6" s="278"/>
      <c r="M6" s="278"/>
      <c r="N6" s="277"/>
      <c r="O6" s="277"/>
      <c r="P6" s="278"/>
      <c r="Q6" s="278"/>
    </row>
    <row r="7" spans="1:17">
      <c r="A7" s="160"/>
      <c r="B7" s="160"/>
      <c r="C7" s="160"/>
      <c r="D7" s="158"/>
      <c r="E7" s="160"/>
      <c r="F7" s="158"/>
      <c r="G7" s="278"/>
      <c r="H7" s="278"/>
      <c r="I7" s="282"/>
      <c r="J7" s="282"/>
      <c r="K7" s="282"/>
      <c r="L7" s="278"/>
      <c r="M7" s="278"/>
      <c r="N7" s="277"/>
      <c r="O7" s="277"/>
      <c r="P7" s="278"/>
      <c r="Q7" s="278"/>
    </row>
    <row r="8" spans="1:17">
      <c r="A8" s="129" t="s">
        <v>310</v>
      </c>
      <c r="B8" s="160"/>
      <c r="C8" s="160"/>
      <c r="D8" s="158"/>
      <c r="E8" s="160"/>
      <c r="F8" s="158"/>
      <c r="G8" s="287"/>
      <c r="H8" s="287"/>
      <c r="I8" s="282"/>
      <c r="J8" s="282"/>
      <c r="K8" s="282"/>
      <c r="L8" s="287"/>
      <c r="M8" s="287"/>
      <c r="N8" s="277"/>
      <c r="O8" s="277"/>
      <c r="P8" s="287"/>
      <c r="Q8" s="287"/>
    </row>
    <row r="9" spans="1:17">
      <c r="A9" s="278"/>
      <c r="B9" s="278"/>
      <c r="C9" s="278"/>
      <c r="D9" s="278"/>
      <c r="E9" s="278"/>
      <c r="F9" s="278"/>
      <c r="G9" s="278"/>
      <c r="H9" s="278"/>
      <c r="I9" s="288"/>
      <c r="J9" s="288"/>
      <c r="K9" s="288"/>
      <c r="L9" s="278"/>
      <c r="M9" s="278"/>
      <c r="N9" s="289"/>
      <c r="O9" s="289"/>
      <c r="P9" s="290"/>
      <c r="Q9" s="290"/>
    </row>
    <row r="10" spans="1:17">
      <c r="A10" s="84" t="s">
        <v>7</v>
      </c>
      <c r="B10" s="84" t="s">
        <v>311</v>
      </c>
      <c r="C10" s="84" t="s">
        <v>312</v>
      </c>
      <c r="D10" s="84" t="s">
        <v>313</v>
      </c>
      <c r="E10" s="84" t="s">
        <v>314</v>
      </c>
      <c r="F10" s="86" t="s">
        <v>315</v>
      </c>
      <c r="G10" s="87"/>
      <c r="H10" s="87"/>
      <c r="I10" s="88"/>
      <c r="J10" s="86" t="s">
        <v>316</v>
      </c>
      <c r="K10" s="87"/>
      <c r="L10" s="87"/>
      <c r="M10" s="88"/>
      <c r="N10" s="90" t="s">
        <v>317</v>
      </c>
      <c r="O10" s="90"/>
      <c r="P10" s="90"/>
      <c r="Q10" s="90"/>
    </row>
    <row r="11" spans="1:17">
      <c r="A11" s="291"/>
      <c r="B11" s="291"/>
      <c r="C11" s="291"/>
      <c r="D11" s="291"/>
      <c r="E11" s="291"/>
      <c r="F11" s="86" t="s">
        <v>318</v>
      </c>
      <c r="G11" s="87"/>
      <c r="H11" s="86" t="s">
        <v>319</v>
      </c>
      <c r="I11" s="88"/>
      <c r="J11" s="86" t="s">
        <v>318</v>
      </c>
      <c r="K11" s="87"/>
      <c r="L11" s="86" t="s">
        <v>319</v>
      </c>
      <c r="M11" s="88"/>
      <c r="N11" s="86" t="s">
        <v>318</v>
      </c>
      <c r="O11" s="87"/>
      <c r="P11" s="86" t="s">
        <v>319</v>
      </c>
      <c r="Q11" s="88"/>
    </row>
    <row r="12" spans="1:17">
      <c r="A12" s="92"/>
      <c r="B12" s="92"/>
      <c r="C12" s="92"/>
      <c r="D12" s="92"/>
      <c r="E12" s="92"/>
      <c r="F12" s="248" t="s">
        <v>320</v>
      </c>
      <c r="G12" s="248" t="s">
        <v>321</v>
      </c>
      <c r="H12" s="248" t="s">
        <v>320</v>
      </c>
      <c r="I12" s="248" t="s">
        <v>321</v>
      </c>
      <c r="J12" s="248" t="s">
        <v>320</v>
      </c>
      <c r="K12" s="248" t="s">
        <v>321</v>
      </c>
      <c r="L12" s="248" t="s">
        <v>320</v>
      </c>
      <c r="M12" s="248" t="s">
        <v>321</v>
      </c>
      <c r="N12" s="248" t="s">
        <v>320</v>
      </c>
      <c r="O12" s="248" t="s">
        <v>321</v>
      </c>
      <c r="P12" s="248" t="s">
        <v>320</v>
      </c>
      <c r="Q12" s="248" t="s">
        <v>321</v>
      </c>
    </row>
    <row r="13" spans="1:17">
      <c r="A13" s="292" t="s">
        <v>11</v>
      </c>
      <c r="B13" s="292" t="s">
        <v>12</v>
      </c>
      <c r="C13" s="292" t="s">
        <v>13</v>
      </c>
      <c r="D13" s="292" t="s">
        <v>14</v>
      </c>
      <c r="E13" s="248" t="s">
        <v>135</v>
      </c>
      <c r="F13" s="292" t="s">
        <v>136</v>
      </c>
      <c r="G13" s="292" t="s">
        <v>137</v>
      </c>
      <c r="H13" s="292" t="s">
        <v>138</v>
      </c>
      <c r="I13" s="292" t="s">
        <v>139</v>
      </c>
      <c r="J13" s="293" t="s">
        <v>140</v>
      </c>
      <c r="K13" s="293" t="s">
        <v>236</v>
      </c>
      <c r="L13" s="292" t="s">
        <v>322</v>
      </c>
      <c r="M13" s="292" t="s">
        <v>323</v>
      </c>
      <c r="N13" s="293" t="s">
        <v>324</v>
      </c>
      <c r="O13" s="293" t="s">
        <v>325</v>
      </c>
      <c r="P13" s="292" t="s">
        <v>326</v>
      </c>
      <c r="Q13" s="292" t="s">
        <v>327</v>
      </c>
    </row>
    <row r="14" spans="1:17">
      <c r="A14" s="294">
        <v>1</v>
      </c>
      <c r="B14" s="295" t="s">
        <v>328</v>
      </c>
      <c r="C14" s="292"/>
      <c r="D14" s="292"/>
      <c r="E14" s="248"/>
      <c r="F14" s="292"/>
      <c r="G14" s="292"/>
      <c r="H14" s="292"/>
      <c r="I14" s="292"/>
      <c r="J14" s="293"/>
      <c r="K14" s="293"/>
      <c r="L14" s="292"/>
      <c r="M14" s="292"/>
      <c r="N14" s="293"/>
      <c r="O14" s="293"/>
      <c r="P14" s="292"/>
      <c r="Q14" s="292"/>
    </row>
    <row r="15" spans="1:17">
      <c r="A15" s="101">
        <v>2</v>
      </c>
      <c r="B15" s="296" t="s">
        <v>329</v>
      </c>
      <c r="C15" s="4">
        <f>SUM(C16:C22)</f>
        <v>0</v>
      </c>
      <c r="D15" s="4">
        <f t="shared" ref="D15:Q15" si="0">SUM(D16:D22)</f>
        <v>0</v>
      </c>
      <c r="E15" s="4">
        <f t="shared" si="0"/>
        <v>0</v>
      </c>
      <c r="F15" s="4">
        <f t="shared" si="0"/>
        <v>0</v>
      </c>
      <c r="G15" s="4">
        <f t="shared" si="0"/>
        <v>0</v>
      </c>
      <c r="H15" s="4">
        <f t="shared" si="0"/>
        <v>0</v>
      </c>
      <c r="I15" s="4">
        <f t="shared" si="0"/>
        <v>0</v>
      </c>
      <c r="J15" s="4">
        <f t="shared" si="0"/>
        <v>0</v>
      </c>
      <c r="K15" s="4">
        <f t="shared" si="0"/>
        <v>0</v>
      </c>
      <c r="L15" s="4">
        <f t="shared" si="0"/>
        <v>0</v>
      </c>
      <c r="M15" s="4">
        <f>SUM(M16:M22)</f>
        <v>0</v>
      </c>
      <c r="N15" s="4">
        <f t="shared" si="0"/>
        <v>0</v>
      </c>
      <c r="O15" s="4">
        <f t="shared" si="0"/>
        <v>0</v>
      </c>
      <c r="P15" s="4">
        <f t="shared" si="0"/>
        <v>0</v>
      </c>
      <c r="Q15" s="4">
        <f t="shared" si="0"/>
        <v>0</v>
      </c>
    </row>
    <row r="16" spans="1:17">
      <c r="A16" s="101">
        <v>3</v>
      </c>
      <c r="B16" s="297" t="s">
        <v>330</v>
      </c>
      <c r="C16" s="298">
        <v>0</v>
      </c>
      <c r="D16" s="298">
        <v>0</v>
      </c>
      <c r="E16" s="298">
        <v>0</v>
      </c>
      <c r="F16" s="298">
        <v>0</v>
      </c>
      <c r="G16" s="298">
        <v>0</v>
      </c>
      <c r="H16" s="298">
        <v>0</v>
      </c>
      <c r="I16" s="298">
        <v>0</v>
      </c>
      <c r="J16" s="298">
        <v>0</v>
      </c>
      <c r="K16" s="298">
        <v>0</v>
      </c>
      <c r="L16" s="298">
        <v>0</v>
      </c>
      <c r="M16" s="298">
        <v>0</v>
      </c>
      <c r="N16" s="298">
        <v>0</v>
      </c>
      <c r="O16" s="298">
        <v>0</v>
      </c>
      <c r="P16" s="298">
        <v>0</v>
      </c>
      <c r="Q16" s="298">
        <v>0</v>
      </c>
    </row>
    <row r="17" spans="1:17">
      <c r="A17" s="101">
        <v>4</v>
      </c>
      <c r="B17" s="297" t="s">
        <v>331</v>
      </c>
      <c r="C17" s="298">
        <v>0</v>
      </c>
      <c r="D17" s="298">
        <v>0</v>
      </c>
      <c r="E17" s="298">
        <v>0</v>
      </c>
      <c r="F17" s="298">
        <v>0</v>
      </c>
      <c r="G17" s="298">
        <v>0</v>
      </c>
      <c r="H17" s="298">
        <v>0</v>
      </c>
      <c r="I17" s="298">
        <v>0</v>
      </c>
      <c r="J17" s="298">
        <v>0</v>
      </c>
      <c r="K17" s="298">
        <v>0</v>
      </c>
      <c r="L17" s="298">
        <v>0</v>
      </c>
      <c r="M17" s="298">
        <v>0</v>
      </c>
      <c r="N17" s="298">
        <v>0</v>
      </c>
      <c r="O17" s="298">
        <v>0</v>
      </c>
      <c r="P17" s="298">
        <v>0</v>
      </c>
      <c r="Q17" s="298">
        <v>0</v>
      </c>
    </row>
    <row r="18" spans="1:17">
      <c r="A18" s="101">
        <v>5</v>
      </c>
      <c r="B18" s="297" t="s">
        <v>332</v>
      </c>
      <c r="C18" s="298">
        <v>0</v>
      </c>
      <c r="D18" s="298">
        <v>0</v>
      </c>
      <c r="E18" s="298">
        <v>0</v>
      </c>
      <c r="F18" s="298">
        <v>0</v>
      </c>
      <c r="G18" s="298">
        <v>0</v>
      </c>
      <c r="H18" s="298">
        <v>0</v>
      </c>
      <c r="I18" s="298">
        <v>0</v>
      </c>
      <c r="J18" s="298">
        <v>0</v>
      </c>
      <c r="K18" s="298">
        <v>0</v>
      </c>
      <c r="L18" s="298">
        <v>0</v>
      </c>
      <c r="M18" s="298">
        <v>0</v>
      </c>
      <c r="N18" s="298">
        <v>0</v>
      </c>
      <c r="O18" s="298">
        <v>0</v>
      </c>
      <c r="P18" s="298">
        <v>0</v>
      </c>
      <c r="Q18" s="298">
        <v>0</v>
      </c>
    </row>
    <row r="19" spans="1:17">
      <c r="A19" s="101">
        <v>6</v>
      </c>
      <c r="B19" s="297" t="s">
        <v>333</v>
      </c>
      <c r="C19" s="298">
        <v>0</v>
      </c>
      <c r="D19" s="298">
        <v>0</v>
      </c>
      <c r="E19" s="298">
        <v>0</v>
      </c>
      <c r="F19" s="298">
        <v>0</v>
      </c>
      <c r="G19" s="298">
        <v>0</v>
      </c>
      <c r="H19" s="298">
        <v>0</v>
      </c>
      <c r="I19" s="298">
        <v>0</v>
      </c>
      <c r="J19" s="298">
        <v>0</v>
      </c>
      <c r="K19" s="298">
        <v>0</v>
      </c>
      <c r="L19" s="298">
        <v>0</v>
      </c>
      <c r="M19" s="298">
        <v>0</v>
      </c>
      <c r="N19" s="298">
        <v>0</v>
      </c>
      <c r="O19" s="298">
        <v>0</v>
      </c>
      <c r="P19" s="298">
        <v>0</v>
      </c>
      <c r="Q19" s="298">
        <v>0</v>
      </c>
    </row>
    <row r="20" spans="1:17">
      <c r="A20" s="294">
        <v>7</v>
      </c>
      <c r="B20" s="297" t="s">
        <v>334</v>
      </c>
      <c r="C20" s="298">
        <v>0</v>
      </c>
      <c r="D20" s="298">
        <v>0</v>
      </c>
      <c r="E20" s="298">
        <v>0</v>
      </c>
      <c r="F20" s="298">
        <v>0</v>
      </c>
      <c r="G20" s="298">
        <v>0</v>
      </c>
      <c r="H20" s="298">
        <v>0</v>
      </c>
      <c r="I20" s="298">
        <v>0</v>
      </c>
      <c r="J20" s="298">
        <v>0</v>
      </c>
      <c r="K20" s="298">
        <v>0</v>
      </c>
      <c r="L20" s="298">
        <v>0</v>
      </c>
      <c r="M20" s="298">
        <v>0</v>
      </c>
      <c r="N20" s="298">
        <v>0</v>
      </c>
      <c r="O20" s="298">
        <v>0</v>
      </c>
      <c r="P20" s="298">
        <v>0</v>
      </c>
      <c r="Q20" s="298">
        <v>0</v>
      </c>
    </row>
    <row r="21" spans="1:17">
      <c r="A21" s="101">
        <v>8</v>
      </c>
      <c r="B21" s="297" t="s">
        <v>335</v>
      </c>
      <c r="C21" s="298">
        <v>0</v>
      </c>
      <c r="D21" s="298">
        <v>0</v>
      </c>
      <c r="E21" s="298">
        <v>0</v>
      </c>
      <c r="F21" s="298">
        <v>0</v>
      </c>
      <c r="G21" s="298">
        <v>0</v>
      </c>
      <c r="H21" s="298">
        <v>0</v>
      </c>
      <c r="I21" s="298">
        <v>0</v>
      </c>
      <c r="J21" s="298">
        <v>0</v>
      </c>
      <c r="K21" s="298">
        <v>0</v>
      </c>
      <c r="L21" s="298">
        <v>0</v>
      </c>
      <c r="M21" s="298">
        <v>0</v>
      </c>
      <c r="N21" s="298">
        <v>0</v>
      </c>
      <c r="O21" s="298">
        <v>0</v>
      </c>
      <c r="P21" s="298">
        <v>0</v>
      </c>
      <c r="Q21" s="298">
        <v>0</v>
      </c>
    </row>
    <row r="22" spans="1:17">
      <c r="A22" s="101">
        <v>9</v>
      </c>
      <c r="B22" s="297" t="s">
        <v>336</v>
      </c>
      <c r="C22" s="40">
        <v>0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</row>
    <row r="23" spans="1:17">
      <c r="A23" s="101">
        <v>10</v>
      </c>
      <c r="B23" s="296" t="s">
        <v>337</v>
      </c>
      <c r="C23" s="4">
        <f>SUM(C24:C28)</f>
        <v>0</v>
      </c>
      <c r="D23" s="4">
        <f t="shared" ref="D23:Q23" si="1">SUM(D24:D28)</f>
        <v>0</v>
      </c>
      <c r="E23" s="4">
        <f t="shared" si="1"/>
        <v>0</v>
      </c>
      <c r="F23" s="4">
        <f t="shared" si="1"/>
        <v>0</v>
      </c>
      <c r="G23" s="4">
        <f t="shared" si="1"/>
        <v>0</v>
      </c>
      <c r="H23" s="4">
        <f t="shared" si="1"/>
        <v>0</v>
      </c>
      <c r="I23" s="4">
        <f t="shared" si="1"/>
        <v>0</v>
      </c>
      <c r="J23" s="4">
        <f t="shared" si="1"/>
        <v>0</v>
      </c>
      <c r="K23" s="4">
        <f t="shared" si="1"/>
        <v>0</v>
      </c>
      <c r="L23" s="4">
        <f t="shared" si="1"/>
        <v>0</v>
      </c>
      <c r="M23" s="4">
        <f t="shared" si="1"/>
        <v>0</v>
      </c>
      <c r="N23" s="4">
        <f t="shared" si="1"/>
        <v>0</v>
      </c>
      <c r="O23" s="4">
        <f t="shared" si="1"/>
        <v>0</v>
      </c>
      <c r="P23" s="4">
        <f t="shared" si="1"/>
        <v>0</v>
      </c>
      <c r="Q23" s="4">
        <f t="shared" si="1"/>
        <v>0</v>
      </c>
    </row>
    <row r="24" spans="1:17">
      <c r="A24" s="101">
        <v>11</v>
      </c>
      <c r="B24" s="297" t="s">
        <v>338</v>
      </c>
      <c r="C24" s="40">
        <v>0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</row>
    <row r="25" spans="1:17">
      <c r="A25" s="101">
        <v>12</v>
      </c>
      <c r="B25" s="297" t="s">
        <v>339</v>
      </c>
      <c r="C25" s="40">
        <v>0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</row>
    <row r="26" spans="1:17">
      <c r="A26" s="294">
        <v>13</v>
      </c>
      <c r="B26" s="297" t="s">
        <v>340</v>
      </c>
      <c r="C26" s="40">
        <v>0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</row>
    <row r="27" spans="1:17">
      <c r="A27" s="101">
        <v>14</v>
      </c>
      <c r="B27" s="297" t="s">
        <v>341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 s="40">
        <v>0</v>
      </c>
      <c r="Q27" s="40">
        <v>0</v>
      </c>
    </row>
    <row r="28" spans="1:17">
      <c r="A28" s="101">
        <v>15</v>
      </c>
      <c r="B28" s="297" t="s">
        <v>342</v>
      </c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</row>
    <row r="29" spans="1:17">
      <c r="A29" s="101">
        <v>16</v>
      </c>
      <c r="B29" s="296" t="s">
        <v>343</v>
      </c>
      <c r="C29" s="4">
        <f>SUM(C30:C37)</f>
        <v>0</v>
      </c>
      <c r="D29" s="4">
        <f t="shared" ref="D29:Q29" si="2">SUM(D30:D37)</f>
        <v>0</v>
      </c>
      <c r="E29" s="4">
        <f t="shared" si="2"/>
        <v>0</v>
      </c>
      <c r="F29" s="4">
        <f t="shared" si="2"/>
        <v>0</v>
      </c>
      <c r="G29" s="4">
        <f t="shared" si="2"/>
        <v>0</v>
      </c>
      <c r="H29" s="4">
        <f t="shared" si="2"/>
        <v>0</v>
      </c>
      <c r="I29" s="4">
        <f t="shared" si="2"/>
        <v>0</v>
      </c>
      <c r="J29" s="4">
        <f t="shared" si="2"/>
        <v>0</v>
      </c>
      <c r="K29" s="4">
        <f t="shared" si="2"/>
        <v>0</v>
      </c>
      <c r="L29" s="4">
        <f t="shared" si="2"/>
        <v>0</v>
      </c>
      <c r="M29" s="4">
        <f t="shared" si="2"/>
        <v>0</v>
      </c>
      <c r="N29" s="4">
        <f t="shared" si="2"/>
        <v>0</v>
      </c>
      <c r="O29" s="4">
        <f t="shared" si="2"/>
        <v>0</v>
      </c>
      <c r="P29" s="4">
        <f t="shared" si="2"/>
        <v>0</v>
      </c>
      <c r="Q29" s="4">
        <f t="shared" si="2"/>
        <v>0</v>
      </c>
    </row>
    <row r="30" spans="1:17">
      <c r="A30" s="101">
        <v>17</v>
      </c>
      <c r="B30" s="297" t="s">
        <v>344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</row>
    <row r="31" spans="1:17">
      <c r="A31" s="101">
        <v>18</v>
      </c>
      <c r="B31" s="297" t="s">
        <v>345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</row>
    <row r="32" spans="1:17">
      <c r="A32" s="294">
        <v>19</v>
      </c>
      <c r="B32" s="297" t="s">
        <v>346</v>
      </c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</row>
    <row r="33" spans="1:17">
      <c r="A33" s="101">
        <v>20</v>
      </c>
      <c r="B33" s="297" t="s">
        <v>347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</row>
    <row r="34" spans="1:17">
      <c r="A34" s="101">
        <v>21</v>
      </c>
      <c r="B34" s="297" t="s">
        <v>348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</row>
    <row r="35" spans="1:17">
      <c r="A35" s="101">
        <v>22</v>
      </c>
      <c r="B35" s="297" t="s">
        <v>349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</row>
    <row r="36" spans="1:17">
      <c r="A36" s="101">
        <v>23</v>
      </c>
      <c r="B36" s="297" t="s">
        <v>350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</row>
    <row r="37" spans="1:17">
      <c r="A37" s="101">
        <v>24</v>
      </c>
      <c r="B37" s="297" t="s">
        <v>351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</row>
    <row r="38" spans="1:17">
      <c r="A38" s="294">
        <v>25</v>
      </c>
      <c r="B38" s="296" t="s">
        <v>352</v>
      </c>
      <c r="C38" s="4">
        <f>SUM(C39:C43)</f>
        <v>0</v>
      </c>
      <c r="D38" s="4">
        <f t="shared" ref="D38:Q38" si="3">SUM(D39:D43)</f>
        <v>0</v>
      </c>
      <c r="E38" s="4">
        <f t="shared" si="3"/>
        <v>0</v>
      </c>
      <c r="F38" s="4">
        <f t="shared" si="3"/>
        <v>0</v>
      </c>
      <c r="G38" s="4">
        <f t="shared" si="3"/>
        <v>0</v>
      </c>
      <c r="H38" s="4">
        <f t="shared" si="3"/>
        <v>0</v>
      </c>
      <c r="I38" s="4">
        <f t="shared" si="3"/>
        <v>0</v>
      </c>
      <c r="J38" s="4">
        <f t="shared" si="3"/>
        <v>0</v>
      </c>
      <c r="K38" s="4">
        <f t="shared" si="3"/>
        <v>0</v>
      </c>
      <c r="L38" s="4">
        <f t="shared" si="3"/>
        <v>0</v>
      </c>
      <c r="M38" s="4">
        <f t="shared" si="3"/>
        <v>0</v>
      </c>
      <c r="N38" s="4">
        <f t="shared" si="3"/>
        <v>0</v>
      </c>
      <c r="O38" s="4">
        <f t="shared" si="3"/>
        <v>0</v>
      </c>
      <c r="P38" s="4">
        <f t="shared" si="3"/>
        <v>0</v>
      </c>
      <c r="Q38" s="4">
        <f t="shared" si="3"/>
        <v>0</v>
      </c>
    </row>
    <row r="39" spans="1:17">
      <c r="A39" s="101">
        <v>26</v>
      </c>
      <c r="B39" s="297" t="s">
        <v>353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</row>
    <row r="40" spans="1:17">
      <c r="A40" s="101">
        <v>27</v>
      </c>
      <c r="B40" s="297" t="s">
        <v>354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</row>
    <row r="41" spans="1:17">
      <c r="A41" s="101">
        <v>28</v>
      </c>
      <c r="B41" s="297" t="s">
        <v>355</v>
      </c>
      <c r="C41" s="40">
        <v>0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</row>
    <row r="42" spans="1:17">
      <c r="A42" s="101">
        <v>29</v>
      </c>
      <c r="B42" s="297" t="s">
        <v>356</v>
      </c>
      <c r="C42" s="40">
        <v>0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</row>
    <row r="43" spans="1:17">
      <c r="A43" s="101">
        <v>30</v>
      </c>
      <c r="B43" s="297" t="s">
        <v>357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 s="40">
        <v>0</v>
      </c>
      <c r="Q43" s="40">
        <v>0</v>
      </c>
    </row>
    <row r="44" spans="1:17">
      <c r="A44" s="294">
        <v>31</v>
      </c>
      <c r="B44" s="296" t="s">
        <v>358</v>
      </c>
      <c r="C44" s="5">
        <f>SUM(C45:C49)</f>
        <v>0</v>
      </c>
      <c r="D44" s="5">
        <f t="shared" ref="D44:Q44" si="4">SUM(D45:D49)</f>
        <v>0</v>
      </c>
      <c r="E44" s="5">
        <f t="shared" si="4"/>
        <v>0</v>
      </c>
      <c r="F44" s="5">
        <f t="shared" si="4"/>
        <v>0</v>
      </c>
      <c r="G44" s="5">
        <f t="shared" si="4"/>
        <v>0</v>
      </c>
      <c r="H44" s="5">
        <f t="shared" si="4"/>
        <v>0</v>
      </c>
      <c r="I44" s="5">
        <f t="shared" si="4"/>
        <v>0</v>
      </c>
      <c r="J44" s="5">
        <f t="shared" si="4"/>
        <v>0</v>
      </c>
      <c r="K44" s="5">
        <f t="shared" si="4"/>
        <v>0</v>
      </c>
      <c r="L44" s="5">
        <f t="shared" si="4"/>
        <v>0</v>
      </c>
      <c r="M44" s="5">
        <f t="shared" si="4"/>
        <v>0</v>
      </c>
      <c r="N44" s="5">
        <f t="shared" si="4"/>
        <v>0</v>
      </c>
      <c r="O44" s="5">
        <f t="shared" si="4"/>
        <v>0</v>
      </c>
      <c r="P44" s="5">
        <f t="shared" si="4"/>
        <v>0</v>
      </c>
      <c r="Q44" s="5">
        <f t="shared" si="4"/>
        <v>0</v>
      </c>
    </row>
    <row r="45" spans="1:17">
      <c r="A45" s="101">
        <v>32</v>
      </c>
      <c r="B45" s="297" t="s">
        <v>359</v>
      </c>
      <c r="C45" s="40">
        <v>0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  <c r="Q45" s="40">
        <v>0</v>
      </c>
    </row>
    <row r="46" spans="1:17">
      <c r="A46" s="101">
        <v>33</v>
      </c>
      <c r="B46" s="297" t="s">
        <v>360</v>
      </c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</row>
    <row r="47" spans="1:17">
      <c r="A47" s="101">
        <v>34</v>
      </c>
      <c r="B47" s="297" t="s">
        <v>361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</row>
    <row r="48" spans="1:17">
      <c r="A48" s="101">
        <v>35</v>
      </c>
      <c r="B48" s="297" t="s">
        <v>362</v>
      </c>
      <c r="C48" s="40">
        <v>0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</row>
    <row r="49" spans="1:17">
      <c r="A49" s="101">
        <v>36</v>
      </c>
      <c r="B49" s="297" t="s">
        <v>363</v>
      </c>
      <c r="C49" s="40">
        <v>0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</row>
    <row r="50" spans="1:17">
      <c r="A50" s="294">
        <v>37</v>
      </c>
      <c r="B50" s="296" t="s">
        <v>364</v>
      </c>
      <c r="C50" s="222">
        <f>SUM(C51:C58)</f>
        <v>0</v>
      </c>
      <c r="D50" s="222">
        <f t="shared" ref="D50:Q50" si="5">SUM(D51:D58)</f>
        <v>0</v>
      </c>
      <c r="E50" s="222">
        <f t="shared" si="5"/>
        <v>0</v>
      </c>
      <c r="F50" s="222">
        <f t="shared" si="5"/>
        <v>0</v>
      </c>
      <c r="G50" s="222">
        <f t="shared" si="5"/>
        <v>0</v>
      </c>
      <c r="H50" s="222">
        <f t="shared" si="5"/>
        <v>0</v>
      </c>
      <c r="I50" s="222">
        <f t="shared" si="5"/>
        <v>0</v>
      </c>
      <c r="J50" s="222">
        <f t="shared" si="5"/>
        <v>0</v>
      </c>
      <c r="K50" s="222">
        <f t="shared" si="5"/>
        <v>0</v>
      </c>
      <c r="L50" s="222">
        <f t="shared" si="5"/>
        <v>0</v>
      </c>
      <c r="M50" s="222">
        <f t="shared" si="5"/>
        <v>0</v>
      </c>
      <c r="N50" s="222">
        <f t="shared" si="5"/>
        <v>0</v>
      </c>
      <c r="O50" s="222">
        <f t="shared" si="5"/>
        <v>0</v>
      </c>
      <c r="P50" s="222">
        <f t="shared" si="5"/>
        <v>0</v>
      </c>
      <c r="Q50" s="222">
        <f t="shared" si="5"/>
        <v>0</v>
      </c>
    </row>
    <row r="51" spans="1:17" ht="17.100000000000001" customHeight="1">
      <c r="A51" s="101">
        <v>38</v>
      </c>
      <c r="B51" s="297" t="s">
        <v>365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</row>
    <row r="52" spans="1:17">
      <c r="A52" s="101">
        <v>39</v>
      </c>
      <c r="B52" s="297" t="s">
        <v>366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</row>
    <row r="53" spans="1:17">
      <c r="A53" s="101">
        <v>40</v>
      </c>
      <c r="B53" s="297" t="s">
        <v>367</v>
      </c>
      <c r="C53" s="40">
        <v>0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</row>
    <row r="54" spans="1:17">
      <c r="A54" s="101">
        <v>41</v>
      </c>
      <c r="B54" s="297" t="s">
        <v>368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</row>
    <row r="55" spans="1:17">
      <c r="A55" s="101">
        <v>42</v>
      </c>
      <c r="B55" s="297" t="s">
        <v>369</v>
      </c>
      <c r="C55" s="40">
        <v>0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  <c r="Q55" s="40">
        <v>0</v>
      </c>
    </row>
    <row r="56" spans="1:17">
      <c r="A56" s="294">
        <v>43</v>
      </c>
      <c r="B56" s="297" t="s">
        <v>370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</row>
    <row r="57" spans="1:17">
      <c r="A57" s="101">
        <v>44</v>
      </c>
      <c r="B57" s="297" t="s">
        <v>371</v>
      </c>
      <c r="C57" s="40">
        <v>0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</row>
    <row r="58" spans="1:17">
      <c r="A58" s="101">
        <v>45</v>
      </c>
      <c r="B58" s="297" t="s">
        <v>372</v>
      </c>
      <c r="C58" s="40">
        <v>0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</row>
    <row r="59" spans="1:17">
      <c r="A59" s="101">
        <v>46</v>
      </c>
      <c r="B59" s="296" t="s">
        <v>373</v>
      </c>
      <c r="C59" s="222">
        <f>SUM(C60:C64)</f>
        <v>0</v>
      </c>
      <c r="D59" s="222">
        <f t="shared" ref="D59:Q59" si="6">SUM(D60:D64)</f>
        <v>0</v>
      </c>
      <c r="E59" s="222">
        <f t="shared" si="6"/>
        <v>0</v>
      </c>
      <c r="F59" s="222">
        <f t="shared" si="6"/>
        <v>0</v>
      </c>
      <c r="G59" s="222">
        <f t="shared" si="6"/>
        <v>0</v>
      </c>
      <c r="H59" s="222">
        <f t="shared" si="6"/>
        <v>0</v>
      </c>
      <c r="I59" s="222">
        <f t="shared" si="6"/>
        <v>0</v>
      </c>
      <c r="J59" s="222">
        <f t="shared" si="6"/>
        <v>0</v>
      </c>
      <c r="K59" s="222">
        <f t="shared" si="6"/>
        <v>0</v>
      </c>
      <c r="L59" s="222">
        <f t="shared" si="6"/>
        <v>0</v>
      </c>
      <c r="M59" s="222">
        <f t="shared" si="6"/>
        <v>0</v>
      </c>
      <c r="N59" s="222">
        <f t="shared" si="6"/>
        <v>0</v>
      </c>
      <c r="O59" s="222">
        <f t="shared" si="6"/>
        <v>0</v>
      </c>
      <c r="P59" s="222">
        <f t="shared" si="6"/>
        <v>0</v>
      </c>
      <c r="Q59" s="222">
        <f t="shared" si="6"/>
        <v>0</v>
      </c>
    </row>
    <row r="60" spans="1:17">
      <c r="A60" s="101">
        <v>47</v>
      </c>
      <c r="B60" s="297" t="s">
        <v>374</v>
      </c>
      <c r="C60" s="40">
        <v>0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</row>
    <row r="61" spans="1:17">
      <c r="A61" s="101">
        <v>48</v>
      </c>
      <c r="B61" s="297" t="s">
        <v>375</v>
      </c>
      <c r="C61" s="40">
        <v>0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</row>
    <row r="62" spans="1:17">
      <c r="A62" s="294">
        <v>49</v>
      </c>
      <c r="B62" s="297" t="s">
        <v>376</v>
      </c>
      <c r="C62" s="40">
        <v>0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</row>
    <row r="63" spans="1:17">
      <c r="A63" s="101">
        <v>50</v>
      </c>
      <c r="B63" s="297" t="s">
        <v>377</v>
      </c>
      <c r="C63" s="40">
        <v>0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</row>
    <row r="64" spans="1:17">
      <c r="A64" s="101">
        <v>51</v>
      </c>
      <c r="B64" s="297" t="s">
        <v>378</v>
      </c>
      <c r="C64" s="40">
        <v>0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</row>
    <row r="65" spans="1:17">
      <c r="A65" s="101">
        <v>52</v>
      </c>
      <c r="B65" s="296" t="s">
        <v>379</v>
      </c>
      <c r="C65" s="222">
        <f>SUM(C66:C73)</f>
        <v>0</v>
      </c>
      <c r="D65" s="222">
        <f t="shared" ref="D65:Q65" si="7">SUM(D66:D73)</f>
        <v>0</v>
      </c>
      <c r="E65" s="222">
        <f t="shared" si="7"/>
        <v>0</v>
      </c>
      <c r="F65" s="222">
        <f t="shared" si="7"/>
        <v>0</v>
      </c>
      <c r="G65" s="222">
        <f t="shared" si="7"/>
        <v>0</v>
      </c>
      <c r="H65" s="222">
        <f t="shared" si="7"/>
        <v>0</v>
      </c>
      <c r="I65" s="222">
        <f t="shared" si="7"/>
        <v>0</v>
      </c>
      <c r="J65" s="222">
        <f t="shared" si="7"/>
        <v>0</v>
      </c>
      <c r="K65" s="222">
        <f t="shared" si="7"/>
        <v>0</v>
      </c>
      <c r="L65" s="222">
        <f t="shared" si="7"/>
        <v>0</v>
      </c>
      <c r="M65" s="222">
        <f t="shared" si="7"/>
        <v>0</v>
      </c>
      <c r="N65" s="222">
        <f t="shared" si="7"/>
        <v>0</v>
      </c>
      <c r="O65" s="222">
        <f t="shared" si="7"/>
        <v>0</v>
      </c>
      <c r="P65" s="222">
        <f t="shared" si="7"/>
        <v>0</v>
      </c>
      <c r="Q65" s="222">
        <f t="shared" si="7"/>
        <v>0</v>
      </c>
    </row>
    <row r="66" spans="1:17">
      <c r="A66" s="101">
        <v>53</v>
      </c>
      <c r="B66" s="297" t="s">
        <v>380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</row>
    <row r="67" spans="1:17">
      <c r="A67" s="101">
        <v>54</v>
      </c>
      <c r="B67" s="297" t="s">
        <v>381</v>
      </c>
      <c r="C67" s="40">
        <v>0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  <c r="P67" s="40">
        <v>0</v>
      </c>
      <c r="Q67" s="40">
        <v>0</v>
      </c>
    </row>
    <row r="68" spans="1:17">
      <c r="A68" s="294">
        <v>55</v>
      </c>
      <c r="B68" s="297" t="s">
        <v>382</v>
      </c>
      <c r="C68" s="40">
        <v>0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</row>
    <row r="69" spans="1:17">
      <c r="A69" s="101">
        <v>56</v>
      </c>
      <c r="B69" s="297" t="s">
        <v>383</v>
      </c>
      <c r="C69" s="40">
        <v>0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</row>
    <row r="70" spans="1:17">
      <c r="A70" s="101">
        <v>57</v>
      </c>
      <c r="B70" s="297" t="s">
        <v>384</v>
      </c>
      <c r="C70" s="40">
        <v>0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</row>
    <row r="71" spans="1:17">
      <c r="A71" s="101">
        <v>58</v>
      </c>
      <c r="B71" s="297" t="s">
        <v>385</v>
      </c>
      <c r="C71" s="40">
        <v>0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</row>
    <row r="72" spans="1:17">
      <c r="A72" s="101">
        <v>59</v>
      </c>
      <c r="B72" s="297" t="s">
        <v>386</v>
      </c>
      <c r="C72" s="40">
        <v>0</v>
      </c>
      <c r="D72" s="40">
        <v>0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</row>
    <row r="73" spans="1:17">
      <c r="A73" s="101">
        <v>60</v>
      </c>
      <c r="B73" s="297" t="s">
        <v>387</v>
      </c>
      <c r="C73" s="40">
        <v>0</v>
      </c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0</v>
      </c>
      <c r="P73" s="40">
        <v>0</v>
      </c>
      <c r="Q73" s="40">
        <v>0</v>
      </c>
    </row>
    <row r="74" spans="1:17">
      <c r="A74" s="294">
        <v>61</v>
      </c>
      <c r="B74" s="296" t="s">
        <v>388</v>
      </c>
      <c r="C74" s="222">
        <f>SUM(C75:C81)</f>
        <v>0</v>
      </c>
      <c r="D74" s="222">
        <f t="shared" ref="D74:Q74" si="8">SUM(D75:D81)</f>
        <v>0</v>
      </c>
      <c r="E74" s="222">
        <f t="shared" si="8"/>
        <v>0</v>
      </c>
      <c r="F74" s="222">
        <f t="shared" si="8"/>
        <v>0</v>
      </c>
      <c r="G74" s="222">
        <f t="shared" si="8"/>
        <v>0</v>
      </c>
      <c r="H74" s="222">
        <f t="shared" si="8"/>
        <v>0</v>
      </c>
      <c r="I74" s="222">
        <f t="shared" si="8"/>
        <v>0</v>
      </c>
      <c r="J74" s="222">
        <f t="shared" si="8"/>
        <v>0</v>
      </c>
      <c r="K74" s="222">
        <f t="shared" si="8"/>
        <v>0</v>
      </c>
      <c r="L74" s="222">
        <f t="shared" si="8"/>
        <v>0</v>
      </c>
      <c r="M74" s="222">
        <f t="shared" si="8"/>
        <v>0</v>
      </c>
      <c r="N74" s="222">
        <f t="shared" si="8"/>
        <v>0</v>
      </c>
      <c r="O74" s="222">
        <f t="shared" si="8"/>
        <v>0</v>
      </c>
      <c r="P74" s="222">
        <f t="shared" si="8"/>
        <v>0</v>
      </c>
      <c r="Q74" s="222">
        <f t="shared" si="8"/>
        <v>0</v>
      </c>
    </row>
    <row r="75" spans="1:17">
      <c r="A75" s="101">
        <v>62</v>
      </c>
      <c r="B75" s="297" t="s">
        <v>389</v>
      </c>
      <c r="C75" s="40">
        <v>0</v>
      </c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</row>
    <row r="76" spans="1:17">
      <c r="A76" s="101">
        <v>63</v>
      </c>
      <c r="B76" s="297" t="s">
        <v>390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</row>
    <row r="77" spans="1:17">
      <c r="A77" s="101">
        <v>64</v>
      </c>
      <c r="B77" s="297" t="s">
        <v>391</v>
      </c>
      <c r="C77" s="40">
        <v>0</v>
      </c>
      <c r="D77" s="40">
        <v>0</v>
      </c>
      <c r="E77" s="40">
        <v>0</v>
      </c>
      <c r="F77" s="40">
        <v>0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40">
        <v>0</v>
      </c>
      <c r="M77" s="40">
        <v>0</v>
      </c>
      <c r="N77" s="40">
        <v>0</v>
      </c>
      <c r="O77" s="40">
        <v>0</v>
      </c>
      <c r="P77" s="40">
        <v>0</v>
      </c>
      <c r="Q77" s="40">
        <v>0</v>
      </c>
    </row>
    <row r="78" spans="1:17">
      <c r="A78" s="101">
        <v>65</v>
      </c>
      <c r="B78" s="297" t="s">
        <v>392</v>
      </c>
      <c r="C78" s="40">
        <v>0</v>
      </c>
      <c r="D78" s="40">
        <v>0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</row>
    <row r="79" spans="1:17">
      <c r="A79" s="101">
        <v>66</v>
      </c>
      <c r="B79" s="297" t="s">
        <v>393</v>
      </c>
      <c r="C79" s="40">
        <v>0</v>
      </c>
      <c r="D79" s="40">
        <v>0</v>
      </c>
      <c r="E79" s="40">
        <v>0</v>
      </c>
      <c r="F79" s="40">
        <v>0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  <c r="N79" s="40">
        <v>0</v>
      </c>
      <c r="O79" s="40">
        <v>0</v>
      </c>
      <c r="P79" s="40">
        <v>0</v>
      </c>
      <c r="Q79" s="40">
        <v>0</v>
      </c>
    </row>
    <row r="80" spans="1:17">
      <c r="A80" s="294">
        <v>67</v>
      </c>
      <c r="B80" s="297" t="s">
        <v>394</v>
      </c>
      <c r="C80" s="40">
        <v>0</v>
      </c>
      <c r="D80" s="40">
        <v>0</v>
      </c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</row>
    <row r="81" spans="1:17">
      <c r="A81" s="101">
        <v>68</v>
      </c>
      <c r="B81" s="297" t="s">
        <v>395</v>
      </c>
      <c r="C81" s="40">
        <v>0</v>
      </c>
      <c r="D81" s="40">
        <v>0</v>
      </c>
      <c r="E81" s="40">
        <v>0</v>
      </c>
      <c r="F81" s="40">
        <v>0</v>
      </c>
      <c r="G81" s="40">
        <v>0</v>
      </c>
      <c r="H81" s="40">
        <v>0</v>
      </c>
      <c r="I81" s="40">
        <v>0</v>
      </c>
      <c r="J81" s="40">
        <v>0</v>
      </c>
      <c r="K81" s="40">
        <v>0</v>
      </c>
      <c r="L81" s="40">
        <v>0</v>
      </c>
      <c r="M81" s="40">
        <v>0</v>
      </c>
      <c r="N81" s="40">
        <v>0</v>
      </c>
      <c r="O81" s="40">
        <v>0</v>
      </c>
      <c r="P81" s="40">
        <v>0</v>
      </c>
      <c r="Q81" s="40">
        <v>0</v>
      </c>
    </row>
    <row r="82" spans="1:17">
      <c r="A82" s="101">
        <v>69</v>
      </c>
      <c r="B82" s="296" t="s">
        <v>396</v>
      </c>
      <c r="C82" s="222">
        <f>SUM(C83:C88)</f>
        <v>0</v>
      </c>
      <c r="D82" s="222">
        <f t="shared" ref="D82:Q82" si="9">SUM(D83:D88)</f>
        <v>0</v>
      </c>
      <c r="E82" s="222">
        <f t="shared" si="9"/>
        <v>0</v>
      </c>
      <c r="F82" s="222">
        <f t="shared" si="9"/>
        <v>0</v>
      </c>
      <c r="G82" s="222">
        <f t="shared" si="9"/>
        <v>0</v>
      </c>
      <c r="H82" s="222">
        <f t="shared" si="9"/>
        <v>0</v>
      </c>
      <c r="I82" s="222">
        <f t="shared" si="9"/>
        <v>0</v>
      </c>
      <c r="J82" s="222">
        <f t="shared" si="9"/>
        <v>0</v>
      </c>
      <c r="K82" s="222">
        <f t="shared" si="9"/>
        <v>0</v>
      </c>
      <c r="L82" s="222">
        <f t="shared" si="9"/>
        <v>0</v>
      </c>
      <c r="M82" s="222">
        <f t="shared" si="9"/>
        <v>0</v>
      </c>
      <c r="N82" s="222">
        <f t="shared" si="9"/>
        <v>0</v>
      </c>
      <c r="O82" s="222">
        <f t="shared" si="9"/>
        <v>0</v>
      </c>
      <c r="P82" s="222">
        <f t="shared" si="9"/>
        <v>0</v>
      </c>
      <c r="Q82" s="222">
        <f t="shared" si="9"/>
        <v>0</v>
      </c>
    </row>
    <row r="83" spans="1:17">
      <c r="A83" s="101">
        <v>70</v>
      </c>
      <c r="B83" s="297" t="s">
        <v>397</v>
      </c>
      <c r="C83" s="40">
        <v>0</v>
      </c>
      <c r="D83" s="40">
        <v>0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  <c r="O83" s="40">
        <v>0</v>
      </c>
      <c r="P83" s="40">
        <v>0</v>
      </c>
      <c r="Q83" s="40">
        <v>0</v>
      </c>
    </row>
    <row r="84" spans="1:17">
      <c r="A84" s="101">
        <v>71</v>
      </c>
      <c r="B84" s="297" t="s">
        <v>398</v>
      </c>
      <c r="C84" s="40">
        <v>0</v>
      </c>
      <c r="D84" s="40">
        <v>0</v>
      </c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</row>
    <row r="85" spans="1:17">
      <c r="A85" s="101">
        <v>72</v>
      </c>
      <c r="B85" s="297" t="s">
        <v>399</v>
      </c>
      <c r="C85" s="40">
        <v>0</v>
      </c>
      <c r="D85" s="40">
        <v>0</v>
      </c>
      <c r="E85" s="40">
        <v>0</v>
      </c>
      <c r="F85" s="40">
        <v>0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40">
        <v>0</v>
      </c>
      <c r="Q85" s="40">
        <v>0</v>
      </c>
    </row>
    <row r="86" spans="1:17">
      <c r="A86" s="294">
        <v>73</v>
      </c>
      <c r="B86" s="297" t="s">
        <v>400</v>
      </c>
      <c r="C86" s="40">
        <v>0</v>
      </c>
      <c r="D86" s="40">
        <v>0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</row>
    <row r="87" spans="1:17">
      <c r="A87" s="101">
        <v>74</v>
      </c>
      <c r="B87" s="297" t="s">
        <v>401</v>
      </c>
      <c r="C87" s="40">
        <v>0</v>
      </c>
      <c r="D87" s="40">
        <v>0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  <c r="N87" s="40">
        <v>0</v>
      </c>
      <c r="O87" s="40">
        <v>0</v>
      </c>
      <c r="P87" s="40">
        <v>0</v>
      </c>
      <c r="Q87" s="40">
        <v>0</v>
      </c>
    </row>
    <row r="88" spans="1:17">
      <c r="A88" s="101">
        <v>75</v>
      </c>
      <c r="B88" s="297" t="s">
        <v>402</v>
      </c>
      <c r="C88" s="40">
        <v>0</v>
      </c>
      <c r="D88" s="40">
        <v>0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>
        <v>0</v>
      </c>
      <c r="Q88" s="40">
        <v>0</v>
      </c>
    </row>
    <row r="89" spans="1:17">
      <c r="A89" s="101">
        <v>76</v>
      </c>
      <c r="B89" s="296" t="s">
        <v>403</v>
      </c>
      <c r="C89" s="222">
        <f>SUM(C90:C96)</f>
        <v>0</v>
      </c>
      <c r="D89" s="222">
        <f t="shared" ref="D89:Q89" si="10">SUM(D90:D96)</f>
        <v>0</v>
      </c>
      <c r="E89" s="222">
        <f t="shared" si="10"/>
        <v>0</v>
      </c>
      <c r="F89" s="222">
        <f t="shared" si="10"/>
        <v>0</v>
      </c>
      <c r="G89" s="222">
        <f t="shared" si="10"/>
        <v>0</v>
      </c>
      <c r="H89" s="222">
        <f t="shared" si="10"/>
        <v>0</v>
      </c>
      <c r="I89" s="222">
        <f t="shared" si="10"/>
        <v>0</v>
      </c>
      <c r="J89" s="222">
        <f t="shared" si="10"/>
        <v>0</v>
      </c>
      <c r="K89" s="222">
        <f t="shared" si="10"/>
        <v>0</v>
      </c>
      <c r="L89" s="222">
        <f t="shared" si="10"/>
        <v>0</v>
      </c>
      <c r="M89" s="222">
        <f t="shared" si="10"/>
        <v>0</v>
      </c>
      <c r="N89" s="222">
        <f t="shared" si="10"/>
        <v>0</v>
      </c>
      <c r="O89" s="222">
        <f t="shared" si="10"/>
        <v>0</v>
      </c>
      <c r="P89" s="222">
        <f t="shared" si="10"/>
        <v>0</v>
      </c>
      <c r="Q89" s="222">
        <f t="shared" si="10"/>
        <v>0</v>
      </c>
    </row>
    <row r="90" spans="1:17">
      <c r="A90" s="101">
        <v>77</v>
      </c>
      <c r="B90" s="297" t="s">
        <v>404</v>
      </c>
      <c r="C90" s="40">
        <v>0</v>
      </c>
      <c r="D90" s="40">
        <v>0</v>
      </c>
      <c r="E90" s="40">
        <v>0</v>
      </c>
      <c r="F90" s="40">
        <v>0</v>
      </c>
      <c r="G90" s="40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</row>
    <row r="91" spans="1:17">
      <c r="A91" s="101">
        <v>78</v>
      </c>
      <c r="B91" s="297" t="s">
        <v>405</v>
      </c>
      <c r="C91" s="40">
        <v>0</v>
      </c>
      <c r="D91" s="40">
        <v>0</v>
      </c>
      <c r="E91" s="40">
        <v>0</v>
      </c>
      <c r="F91" s="40">
        <v>0</v>
      </c>
      <c r="G91" s="40">
        <v>0</v>
      </c>
      <c r="H91" s="40">
        <v>0</v>
      </c>
      <c r="I91" s="40">
        <v>0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  <c r="O91" s="40">
        <v>0</v>
      </c>
      <c r="P91" s="40">
        <v>0</v>
      </c>
      <c r="Q91" s="40">
        <v>0</v>
      </c>
    </row>
    <row r="92" spans="1:17">
      <c r="A92" s="294">
        <v>79</v>
      </c>
      <c r="B92" s="297" t="s">
        <v>406</v>
      </c>
      <c r="C92" s="40">
        <v>0</v>
      </c>
      <c r="D92" s="40">
        <v>0</v>
      </c>
      <c r="E92" s="40">
        <v>0</v>
      </c>
      <c r="F92" s="40">
        <v>0</v>
      </c>
      <c r="G92" s="40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</row>
    <row r="93" spans="1:17">
      <c r="A93" s="101">
        <v>80</v>
      </c>
      <c r="B93" s="297" t="s">
        <v>407</v>
      </c>
      <c r="C93" s="40">
        <v>0</v>
      </c>
      <c r="D93" s="40">
        <v>0</v>
      </c>
      <c r="E93" s="40">
        <v>0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0</v>
      </c>
      <c r="N93" s="40">
        <v>0</v>
      </c>
      <c r="O93" s="40">
        <v>0</v>
      </c>
      <c r="P93" s="40">
        <v>0</v>
      </c>
      <c r="Q93" s="40">
        <v>0</v>
      </c>
    </row>
    <row r="94" spans="1:17">
      <c r="A94" s="101">
        <v>81</v>
      </c>
      <c r="B94" s="297" t="s">
        <v>408</v>
      </c>
      <c r="C94" s="40">
        <v>0</v>
      </c>
      <c r="D94" s="40">
        <v>0</v>
      </c>
      <c r="E94" s="40">
        <v>0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40">
        <v>0</v>
      </c>
      <c r="O94" s="40">
        <v>0</v>
      </c>
      <c r="P94" s="40">
        <v>0</v>
      </c>
      <c r="Q94" s="40">
        <v>0</v>
      </c>
    </row>
    <row r="95" spans="1:17">
      <c r="A95" s="101">
        <v>82</v>
      </c>
      <c r="B95" s="297" t="s">
        <v>409</v>
      </c>
      <c r="C95" s="40">
        <v>0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0">
        <v>0</v>
      </c>
      <c r="P95" s="40">
        <v>0</v>
      </c>
      <c r="Q95" s="40">
        <v>0</v>
      </c>
    </row>
    <row r="96" spans="1:17">
      <c r="A96" s="101">
        <v>83</v>
      </c>
      <c r="B96" s="297" t="s">
        <v>410</v>
      </c>
      <c r="C96" s="40">
        <v>0</v>
      </c>
      <c r="D96" s="40">
        <v>0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</row>
    <row r="97" spans="1:17">
      <c r="A97" s="101">
        <v>84</v>
      </c>
      <c r="B97" s="296" t="s">
        <v>411</v>
      </c>
      <c r="C97" s="222">
        <f>SUM(C98:C106)</f>
        <v>0</v>
      </c>
      <c r="D97" s="222">
        <f t="shared" ref="D97:Q97" si="11">SUM(D98:D106)</f>
        <v>0</v>
      </c>
      <c r="E97" s="222">
        <f t="shared" si="11"/>
        <v>0</v>
      </c>
      <c r="F97" s="222">
        <f t="shared" si="11"/>
        <v>0</v>
      </c>
      <c r="G97" s="222">
        <f t="shared" si="11"/>
        <v>0</v>
      </c>
      <c r="H97" s="222">
        <f t="shared" si="11"/>
        <v>0</v>
      </c>
      <c r="I97" s="222">
        <f t="shared" si="11"/>
        <v>0</v>
      </c>
      <c r="J97" s="222">
        <f t="shared" si="11"/>
        <v>0</v>
      </c>
      <c r="K97" s="222">
        <f t="shared" si="11"/>
        <v>0</v>
      </c>
      <c r="L97" s="222">
        <f t="shared" si="11"/>
        <v>0</v>
      </c>
      <c r="M97" s="222">
        <f t="shared" si="11"/>
        <v>0</v>
      </c>
      <c r="N97" s="222">
        <f t="shared" si="11"/>
        <v>0</v>
      </c>
      <c r="O97" s="222">
        <f t="shared" si="11"/>
        <v>0</v>
      </c>
      <c r="P97" s="222">
        <f t="shared" si="11"/>
        <v>0</v>
      </c>
      <c r="Q97" s="222">
        <f t="shared" si="11"/>
        <v>0</v>
      </c>
    </row>
    <row r="98" spans="1:17">
      <c r="A98" s="294">
        <v>85</v>
      </c>
      <c r="B98" s="297" t="s">
        <v>412</v>
      </c>
      <c r="C98" s="40">
        <v>0</v>
      </c>
      <c r="D98" s="40">
        <v>0</v>
      </c>
      <c r="E98" s="40">
        <v>0</v>
      </c>
      <c r="F98" s="40">
        <v>0</v>
      </c>
      <c r="G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</row>
    <row r="99" spans="1:17">
      <c r="A99" s="101">
        <v>86</v>
      </c>
      <c r="B99" s="297" t="s">
        <v>413</v>
      </c>
      <c r="C99" s="40">
        <v>0</v>
      </c>
      <c r="D99" s="40">
        <v>0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  <c r="P99" s="40">
        <v>0</v>
      </c>
      <c r="Q99" s="40">
        <v>0</v>
      </c>
    </row>
    <row r="100" spans="1:17">
      <c r="A100" s="101">
        <v>87</v>
      </c>
      <c r="B100" s="297" t="s">
        <v>414</v>
      </c>
      <c r="C100" s="40">
        <v>0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</row>
    <row r="101" spans="1:17">
      <c r="A101" s="101">
        <v>88</v>
      </c>
      <c r="B101" s="297" t="s">
        <v>415</v>
      </c>
      <c r="C101" s="40">
        <v>0</v>
      </c>
      <c r="D101" s="40"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  <c r="P101" s="40">
        <v>0</v>
      </c>
      <c r="Q101" s="40">
        <v>0</v>
      </c>
    </row>
    <row r="102" spans="1:17">
      <c r="A102" s="101">
        <v>89</v>
      </c>
      <c r="B102" s="297" t="s">
        <v>416</v>
      </c>
      <c r="C102" s="40">
        <v>0</v>
      </c>
      <c r="D102" s="40">
        <v>0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</row>
    <row r="103" spans="1:17">
      <c r="A103" s="101">
        <v>90</v>
      </c>
      <c r="B103" s="297" t="s">
        <v>417</v>
      </c>
      <c r="C103" s="40">
        <v>0</v>
      </c>
      <c r="D103" s="40">
        <v>0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0</v>
      </c>
      <c r="N103" s="40">
        <v>0</v>
      </c>
      <c r="O103" s="40">
        <v>0</v>
      </c>
      <c r="P103" s="40">
        <v>0</v>
      </c>
      <c r="Q103" s="40">
        <v>0</v>
      </c>
    </row>
    <row r="104" spans="1:17">
      <c r="A104" s="294">
        <v>91</v>
      </c>
      <c r="B104" s="297" t="s">
        <v>418</v>
      </c>
      <c r="C104" s="40">
        <v>0</v>
      </c>
      <c r="D104" s="40">
        <v>0</v>
      </c>
      <c r="E104" s="40">
        <v>0</v>
      </c>
      <c r="F104" s="40">
        <v>0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</row>
    <row r="105" spans="1:17">
      <c r="A105" s="101">
        <v>92</v>
      </c>
      <c r="B105" s="297" t="s">
        <v>419</v>
      </c>
      <c r="C105" s="40">
        <v>0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  <c r="P105" s="40">
        <v>0</v>
      </c>
      <c r="Q105" s="40">
        <v>0</v>
      </c>
    </row>
    <row r="106" spans="1:17">
      <c r="A106" s="101">
        <v>93</v>
      </c>
      <c r="B106" s="297" t="s">
        <v>420</v>
      </c>
      <c r="C106" s="40">
        <v>0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</row>
    <row r="107" spans="1:17">
      <c r="A107" s="101">
        <v>94</v>
      </c>
      <c r="B107" s="296" t="s">
        <v>421</v>
      </c>
      <c r="C107" s="222">
        <f>SUM(C108:C114)</f>
        <v>0</v>
      </c>
      <c r="D107" s="222">
        <f t="shared" ref="D107:Q107" si="12">SUM(D108:D114)</f>
        <v>0</v>
      </c>
      <c r="E107" s="222">
        <f t="shared" si="12"/>
        <v>0</v>
      </c>
      <c r="F107" s="222">
        <f t="shared" si="12"/>
        <v>0</v>
      </c>
      <c r="G107" s="222">
        <f t="shared" si="12"/>
        <v>0</v>
      </c>
      <c r="H107" s="222">
        <f t="shared" si="12"/>
        <v>0</v>
      </c>
      <c r="I107" s="222">
        <f t="shared" si="12"/>
        <v>0</v>
      </c>
      <c r="J107" s="222">
        <f t="shared" si="12"/>
        <v>0</v>
      </c>
      <c r="K107" s="222">
        <f t="shared" si="12"/>
        <v>0</v>
      </c>
      <c r="L107" s="222">
        <f t="shared" si="12"/>
        <v>0</v>
      </c>
      <c r="M107" s="222">
        <f t="shared" si="12"/>
        <v>0</v>
      </c>
      <c r="N107" s="222">
        <f t="shared" si="12"/>
        <v>0</v>
      </c>
      <c r="O107" s="222">
        <f t="shared" si="12"/>
        <v>0</v>
      </c>
      <c r="P107" s="222">
        <f t="shared" si="12"/>
        <v>0</v>
      </c>
      <c r="Q107" s="222">
        <f t="shared" si="12"/>
        <v>0</v>
      </c>
    </row>
    <row r="108" spans="1:17">
      <c r="A108" s="101">
        <v>95</v>
      </c>
      <c r="B108" s="297" t="s">
        <v>422</v>
      </c>
      <c r="C108" s="40">
        <v>0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</row>
    <row r="109" spans="1:17">
      <c r="A109" s="101">
        <v>96</v>
      </c>
      <c r="B109" s="297" t="s">
        <v>423</v>
      </c>
      <c r="C109" s="40">
        <v>0</v>
      </c>
      <c r="D109" s="40">
        <v>0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  <c r="O109" s="40">
        <v>0</v>
      </c>
      <c r="P109" s="40">
        <v>0</v>
      </c>
      <c r="Q109" s="40">
        <v>0</v>
      </c>
    </row>
    <row r="110" spans="1:17">
      <c r="A110" s="294">
        <v>97</v>
      </c>
      <c r="B110" s="297" t="s">
        <v>424</v>
      </c>
      <c r="C110" s="40">
        <v>0</v>
      </c>
      <c r="D110" s="40">
        <v>0</v>
      </c>
      <c r="E110" s="40">
        <v>0</v>
      </c>
      <c r="F110" s="40">
        <v>0</v>
      </c>
      <c r="G110" s="40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  <c r="P110" s="40">
        <v>0</v>
      </c>
      <c r="Q110" s="40">
        <v>0</v>
      </c>
    </row>
    <row r="111" spans="1:17">
      <c r="A111" s="101">
        <v>98</v>
      </c>
      <c r="B111" s="297" t="s">
        <v>425</v>
      </c>
      <c r="C111" s="40">
        <v>0</v>
      </c>
      <c r="D111" s="40">
        <v>0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</row>
    <row r="112" spans="1:17">
      <c r="A112" s="101">
        <v>99</v>
      </c>
      <c r="B112" s="297" t="s">
        <v>426</v>
      </c>
      <c r="C112" s="40">
        <v>0</v>
      </c>
      <c r="D112" s="40">
        <v>0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</row>
    <row r="113" spans="1:17">
      <c r="A113" s="101">
        <v>100</v>
      </c>
      <c r="B113" s="297" t="s">
        <v>427</v>
      </c>
      <c r="C113" s="40">
        <v>0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0">
        <v>0</v>
      </c>
      <c r="P113" s="40">
        <v>0</v>
      </c>
      <c r="Q113" s="40">
        <v>0</v>
      </c>
    </row>
    <row r="114" spans="1:17">
      <c r="A114" s="101">
        <v>101</v>
      </c>
      <c r="B114" s="297" t="s">
        <v>428</v>
      </c>
      <c r="C114" s="40">
        <v>0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</row>
    <row r="115" spans="1:17">
      <c r="A115" s="101">
        <v>102</v>
      </c>
      <c r="B115" s="296" t="s">
        <v>429</v>
      </c>
      <c r="C115" s="222">
        <f>SUM(C116:C123)</f>
        <v>0</v>
      </c>
      <c r="D115" s="222">
        <f t="shared" ref="D115:Q115" si="13">SUM(D116:D123)</f>
        <v>0</v>
      </c>
      <c r="E115" s="222">
        <f t="shared" si="13"/>
        <v>0</v>
      </c>
      <c r="F115" s="222">
        <f t="shared" si="13"/>
        <v>0</v>
      </c>
      <c r="G115" s="222">
        <f t="shared" si="13"/>
        <v>0</v>
      </c>
      <c r="H115" s="222">
        <f t="shared" si="13"/>
        <v>0</v>
      </c>
      <c r="I115" s="222">
        <f t="shared" si="13"/>
        <v>0</v>
      </c>
      <c r="J115" s="222">
        <f t="shared" si="13"/>
        <v>0</v>
      </c>
      <c r="K115" s="222">
        <f t="shared" si="13"/>
        <v>0</v>
      </c>
      <c r="L115" s="222">
        <f t="shared" si="13"/>
        <v>0</v>
      </c>
      <c r="M115" s="222">
        <f t="shared" si="13"/>
        <v>0</v>
      </c>
      <c r="N115" s="222">
        <f t="shared" si="13"/>
        <v>0</v>
      </c>
      <c r="O115" s="222">
        <f t="shared" si="13"/>
        <v>0</v>
      </c>
      <c r="P115" s="222">
        <f t="shared" si="13"/>
        <v>0</v>
      </c>
      <c r="Q115" s="222">
        <f t="shared" si="13"/>
        <v>0</v>
      </c>
    </row>
    <row r="116" spans="1:17">
      <c r="A116" s="294">
        <v>103</v>
      </c>
      <c r="B116" s="297" t="s">
        <v>430</v>
      </c>
      <c r="C116" s="40">
        <v>0</v>
      </c>
      <c r="D116" s="40">
        <v>0</v>
      </c>
      <c r="E116" s="40">
        <v>0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</row>
    <row r="117" spans="1:17">
      <c r="A117" s="101">
        <v>104</v>
      </c>
      <c r="B117" s="297" t="s">
        <v>431</v>
      </c>
      <c r="C117" s="40">
        <v>0</v>
      </c>
      <c r="D117" s="40">
        <v>0</v>
      </c>
      <c r="E117" s="40">
        <v>0</v>
      </c>
      <c r="F117" s="40">
        <v>0</v>
      </c>
      <c r="G117" s="40">
        <v>0</v>
      </c>
      <c r="H117" s="40">
        <v>0</v>
      </c>
      <c r="I117" s="40">
        <v>0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  <c r="O117" s="40">
        <v>0</v>
      </c>
      <c r="P117" s="40">
        <v>0</v>
      </c>
      <c r="Q117" s="40">
        <v>0</v>
      </c>
    </row>
    <row r="118" spans="1:17">
      <c r="A118" s="101">
        <v>105</v>
      </c>
      <c r="B118" s="297" t="s">
        <v>432</v>
      </c>
      <c r="C118" s="40">
        <v>0</v>
      </c>
      <c r="D118" s="40">
        <v>0</v>
      </c>
      <c r="E118" s="40">
        <v>0</v>
      </c>
      <c r="F118" s="40">
        <v>0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M118" s="40">
        <v>0</v>
      </c>
      <c r="N118" s="40">
        <v>0</v>
      </c>
      <c r="O118" s="40">
        <v>0</v>
      </c>
      <c r="P118" s="40">
        <v>0</v>
      </c>
      <c r="Q118" s="40">
        <v>0</v>
      </c>
    </row>
    <row r="119" spans="1:17">
      <c r="A119" s="101">
        <v>106</v>
      </c>
      <c r="B119" s="297" t="s">
        <v>433</v>
      </c>
      <c r="C119" s="40">
        <v>0</v>
      </c>
      <c r="D119" s="40">
        <v>0</v>
      </c>
      <c r="E119" s="40">
        <v>0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>
        <v>0</v>
      </c>
      <c r="N119" s="40">
        <v>0</v>
      </c>
      <c r="O119" s="40">
        <v>0</v>
      </c>
      <c r="P119" s="40">
        <v>0</v>
      </c>
      <c r="Q119" s="40">
        <v>0</v>
      </c>
    </row>
    <row r="120" spans="1:17">
      <c r="A120" s="101">
        <v>107</v>
      </c>
      <c r="B120" s="297" t="s">
        <v>434</v>
      </c>
      <c r="C120" s="40">
        <v>0</v>
      </c>
      <c r="D120" s="40">
        <v>0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</row>
    <row r="121" spans="1:17">
      <c r="A121" s="101">
        <v>108</v>
      </c>
      <c r="B121" s="297" t="s">
        <v>435</v>
      </c>
      <c r="C121" s="40">
        <v>0</v>
      </c>
      <c r="D121" s="40">
        <v>0</v>
      </c>
      <c r="E121" s="40">
        <v>0</v>
      </c>
      <c r="F121" s="40">
        <v>0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M121" s="40">
        <v>0</v>
      </c>
      <c r="N121" s="40">
        <v>0</v>
      </c>
      <c r="O121" s="40">
        <v>0</v>
      </c>
      <c r="P121" s="40">
        <v>0</v>
      </c>
      <c r="Q121" s="40">
        <v>0</v>
      </c>
    </row>
    <row r="122" spans="1:17">
      <c r="A122" s="294">
        <v>109</v>
      </c>
      <c r="B122" s="299" t="s">
        <v>436</v>
      </c>
      <c r="C122" s="40">
        <v>0</v>
      </c>
      <c r="D122" s="40">
        <v>0</v>
      </c>
      <c r="E122" s="40">
        <v>0</v>
      </c>
      <c r="F122" s="40">
        <v>0</v>
      </c>
      <c r="G122" s="40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  <c r="P122" s="40">
        <v>0</v>
      </c>
      <c r="Q122" s="40">
        <v>0</v>
      </c>
    </row>
    <row r="123" spans="1:17">
      <c r="A123" s="101">
        <v>110</v>
      </c>
      <c r="B123" s="297" t="s">
        <v>437</v>
      </c>
      <c r="C123" s="40">
        <v>0</v>
      </c>
      <c r="D123" s="40">
        <v>0</v>
      </c>
      <c r="E123" s="40">
        <v>0</v>
      </c>
      <c r="F123" s="40">
        <v>0</v>
      </c>
      <c r="G123" s="40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40">
        <v>0</v>
      </c>
      <c r="N123" s="40">
        <v>0</v>
      </c>
      <c r="O123" s="40">
        <v>0</v>
      </c>
      <c r="P123" s="40">
        <v>0</v>
      </c>
      <c r="Q123" s="40">
        <v>0</v>
      </c>
    </row>
    <row r="124" spans="1:17">
      <c r="A124" s="101">
        <v>111</v>
      </c>
      <c r="B124" s="296" t="s">
        <v>438</v>
      </c>
      <c r="C124" s="222">
        <f>SUM(C125:C133)</f>
        <v>0</v>
      </c>
      <c r="D124" s="222">
        <f t="shared" ref="D124:Q124" si="14">SUM(D125:D133)</f>
        <v>0</v>
      </c>
      <c r="E124" s="222">
        <f t="shared" si="14"/>
        <v>0</v>
      </c>
      <c r="F124" s="222">
        <f t="shared" si="14"/>
        <v>0</v>
      </c>
      <c r="G124" s="222">
        <f t="shared" si="14"/>
        <v>0</v>
      </c>
      <c r="H124" s="222">
        <f t="shared" si="14"/>
        <v>0</v>
      </c>
      <c r="I124" s="222">
        <f t="shared" si="14"/>
        <v>0</v>
      </c>
      <c r="J124" s="222">
        <f t="shared" si="14"/>
        <v>0</v>
      </c>
      <c r="K124" s="222">
        <f t="shared" si="14"/>
        <v>0</v>
      </c>
      <c r="L124" s="222">
        <f t="shared" si="14"/>
        <v>0</v>
      </c>
      <c r="M124" s="222">
        <f t="shared" si="14"/>
        <v>0</v>
      </c>
      <c r="N124" s="222">
        <f t="shared" si="14"/>
        <v>0</v>
      </c>
      <c r="O124" s="222">
        <f t="shared" si="14"/>
        <v>0</v>
      </c>
      <c r="P124" s="222">
        <f t="shared" si="14"/>
        <v>0</v>
      </c>
      <c r="Q124" s="222">
        <f t="shared" si="14"/>
        <v>0</v>
      </c>
    </row>
    <row r="125" spans="1:17">
      <c r="A125" s="101">
        <v>112</v>
      </c>
      <c r="B125" s="297" t="s">
        <v>439</v>
      </c>
      <c r="C125" s="40">
        <v>0</v>
      </c>
      <c r="D125" s="40">
        <v>0</v>
      </c>
      <c r="E125" s="40">
        <v>0</v>
      </c>
      <c r="F125" s="40">
        <v>0</v>
      </c>
      <c r="G125" s="40">
        <v>0</v>
      </c>
      <c r="H125" s="40">
        <v>0</v>
      </c>
      <c r="I125" s="40">
        <v>0</v>
      </c>
      <c r="J125" s="40">
        <v>0</v>
      </c>
      <c r="K125" s="40">
        <v>0</v>
      </c>
      <c r="L125" s="40">
        <v>0</v>
      </c>
      <c r="M125" s="40">
        <v>0</v>
      </c>
      <c r="N125" s="40">
        <v>0</v>
      </c>
      <c r="O125" s="40">
        <v>0</v>
      </c>
      <c r="P125" s="40">
        <v>0</v>
      </c>
      <c r="Q125" s="40">
        <v>0</v>
      </c>
    </row>
    <row r="126" spans="1:17">
      <c r="A126" s="101">
        <v>113</v>
      </c>
      <c r="B126" s="297" t="s">
        <v>440</v>
      </c>
      <c r="C126" s="40">
        <v>0</v>
      </c>
      <c r="D126" s="40">
        <v>0</v>
      </c>
      <c r="E126" s="40">
        <v>0</v>
      </c>
      <c r="F126" s="40">
        <v>0</v>
      </c>
      <c r="G126" s="40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</row>
    <row r="127" spans="1:17">
      <c r="A127" s="101">
        <v>114</v>
      </c>
      <c r="B127" s="297" t="s">
        <v>441</v>
      </c>
      <c r="C127" s="40">
        <v>0</v>
      </c>
      <c r="D127" s="40">
        <v>0</v>
      </c>
      <c r="E127" s="40">
        <v>0</v>
      </c>
      <c r="F127" s="40">
        <v>0</v>
      </c>
      <c r="G127" s="40">
        <v>0</v>
      </c>
      <c r="H127" s="40">
        <v>0</v>
      </c>
      <c r="I127" s="40">
        <v>0</v>
      </c>
      <c r="J127" s="40">
        <v>0</v>
      </c>
      <c r="K127" s="40">
        <v>0</v>
      </c>
      <c r="L127" s="40">
        <v>0</v>
      </c>
      <c r="M127" s="40">
        <v>0</v>
      </c>
      <c r="N127" s="40">
        <v>0</v>
      </c>
      <c r="O127" s="40">
        <v>0</v>
      </c>
      <c r="P127" s="40">
        <v>0</v>
      </c>
      <c r="Q127" s="40">
        <v>0</v>
      </c>
    </row>
    <row r="128" spans="1:17">
      <c r="A128" s="294">
        <v>115</v>
      </c>
      <c r="B128" s="297" t="s">
        <v>442</v>
      </c>
      <c r="C128" s="40">
        <v>0</v>
      </c>
      <c r="D128" s="40">
        <v>0</v>
      </c>
      <c r="E128" s="40">
        <v>0</v>
      </c>
      <c r="F128" s="40">
        <v>0</v>
      </c>
      <c r="G128" s="40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  <c r="N128" s="40">
        <v>0</v>
      </c>
      <c r="O128" s="40">
        <v>0</v>
      </c>
      <c r="P128" s="40">
        <v>0</v>
      </c>
      <c r="Q128" s="40">
        <v>0</v>
      </c>
    </row>
    <row r="129" spans="1:17">
      <c r="A129" s="101">
        <v>116</v>
      </c>
      <c r="B129" s="297" t="s">
        <v>443</v>
      </c>
      <c r="C129" s="40">
        <v>0</v>
      </c>
      <c r="D129" s="40">
        <v>0</v>
      </c>
      <c r="E129" s="40">
        <v>0</v>
      </c>
      <c r="F129" s="40">
        <v>0</v>
      </c>
      <c r="G129" s="40">
        <v>0</v>
      </c>
      <c r="H129" s="40">
        <v>0</v>
      </c>
      <c r="I129" s="40">
        <v>0</v>
      </c>
      <c r="J129" s="40">
        <v>0</v>
      </c>
      <c r="K129" s="40">
        <v>0</v>
      </c>
      <c r="L129" s="40">
        <v>0</v>
      </c>
      <c r="M129" s="40">
        <v>0</v>
      </c>
      <c r="N129" s="40">
        <v>0</v>
      </c>
      <c r="O129" s="40">
        <v>0</v>
      </c>
      <c r="P129" s="40">
        <v>0</v>
      </c>
      <c r="Q129" s="40">
        <v>0</v>
      </c>
    </row>
    <row r="130" spans="1:17">
      <c r="A130" s="101">
        <v>117</v>
      </c>
      <c r="B130" s="297" t="s">
        <v>444</v>
      </c>
      <c r="C130" s="40">
        <v>0</v>
      </c>
      <c r="D130" s="40">
        <v>0</v>
      </c>
      <c r="E130" s="40">
        <v>0</v>
      </c>
      <c r="F130" s="40">
        <v>0</v>
      </c>
      <c r="G130" s="40">
        <v>0</v>
      </c>
      <c r="H130" s="40">
        <v>0</v>
      </c>
      <c r="I130" s="40">
        <v>0</v>
      </c>
      <c r="J130" s="40">
        <v>0</v>
      </c>
      <c r="K130" s="40">
        <v>0</v>
      </c>
      <c r="L130" s="40">
        <v>0</v>
      </c>
      <c r="M130" s="40">
        <v>0</v>
      </c>
      <c r="N130" s="40">
        <v>0</v>
      </c>
      <c r="O130" s="40">
        <v>0</v>
      </c>
      <c r="P130" s="40">
        <v>0</v>
      </c>
      <c r="Q130" s="40">
        <v>0</v>
      </c>
    </row>
    <row r="131" spans="1:17">
      <c r="A131" s="101">
        <v>118</v>
      </c>
      <c r="B131" s="297" t="s">
        <v>445</v>
      </c>
      <c r="C131" s="40">
        <v>0</v>
      </c>
      <c r="D131" s="40">
        <v>0</v>
      </c>
      <c r="E131" s="40">
        <v>0</v>
      </c>
      <c r="F131" s="40">
        <v>0</v>
      </c>
      <c r="G131" s="40">
        <v>0</v>
      </c>
      <c r="H131" s="40">
        <v>0</v>
      </c>
      <c r="I131" s="40">
        <v>0</v>
      </c>
      <c r="J131" s="40">
        <v>0</v>
      </c>
      <c r="K131" s="40">
        <v>0</v>
      </c>
      <c r="L131" s="40">
        <v>0</v>
      </c>
      <c r="M131" s="40">
        <v>0</v>
      </c>
      <c r="N131" s="40">
        <v>0</v>
      </c>
      <c r="O131" s="40">
        <v>0</v>
      </c>
      <c r="P131" s="40">
        <v>0</v>
      </c>
      <c r="Q131" s="40">
        <v>0</v>
      </c>
    </row>
    <row r="132" spans="1:17">
      <c r="A132" s="101">
        <v>119</v>
      </c>
      <c r="B132" s="297" t="s">
        <v>446</v>
      </c>
      <c r="C132" s="40">
        <v>0</v>
      </c>
      <c r="D132" s="40">
        <v>0</v>
      </c>
      <c r="E132" s="40">
        <v>0</v>
      </c>
      <c r="F132" s="40">
        <v>0</v>
      </c>
      <c r="G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  <c r="P132" s="40">
        <v>0</v>
      </c>
      <c r="Q132" s="40">
        <v>0</v>
      </c>
    </row>
    <row r="133" spans="1:17">
      <c r="A133" s="101">
        <v>120</v>
      </c>
      <c r="B133" s="297" t="s">
        <v>447</v>
      </c>
      <c r="C133" s="40">
        <v>0</v>
      </c>
      <c r="D133" s="40">
        <v>0</v>
      </c>
      <c r="E133" s="40">
        <v>0</v>
      </c>
      <c r="F133" s="40">
        <v>0</v>
      </c>
      <c r="G133" s="40">
        <v>0</v>
      </c>
      <c r="H133" s="40">
        <v>0</v>
      </c>
      <c r="I133" s="40">
        <v>0</v>
      </c>
      <c r="J133" s="40">
        <v>0</v>
      </c>
      <c r="K133" s="40">
        <v>0</v>
      </c>
      <c r="L133" s="40">
        <v>0</v>
      </c>
      <c r="M133" s="40">
        <v>0</v>
      </c>
      <c r="N133" s="40">
        <v>0</v>
      </c>
      <c r="O133" s="40">
        <v>0</v>
      </c>
      <c r="P133" s="40">
        <v>0</v>
      </c>
      <c r="Q133" s="40">
        <v>0</v>
      </c>
    </row>
    <row r="134" spans="1:17">
      <c r="A134" s="294">
        <v>121</v>
      </c>
      <c r="B134" s="296" t="s">
        <v>448</v>
      </c>
      <c r="C134" s="222">
        <f>SUM(C135:C141)</f>
        <v>0</v>
      </c>
      <c r="D134" s="222">
        <f t="shared" ref="D134:Q134" si="15">SUM(D135:D141)</f>
        <v>0</v>
      </c>
      <c r="E134" s="222">
        <f t="shared" si="15"/>
        <v>0</v>
      </c>
      <c r="F134" s="222">
        <f t="shared" si="15"/>
        <v>0</v>
      </c>
      <c r="G134" s="222">
        <f t="shared" si="15"/>
        <v>0</v>
      </c>
      <c r="H134" s="222">
        <f t="shared" si="15"/>
        <v>0</v>
      </c>
      <c r="I134" s="222">
        <f t="shared" si="15"/>
        <v>0</v>
      </c>
      <c r="J134" s="222">
        <f t="shared" si="15"/>
        <v>0</v>
      </c>
      <c r="K134" s="222">
        <f t="shared" si="15"/>
        <v>0</v>
      </c>
      <c r="L134" s="222">
        <f t="shared" si="15"/>
        <v>0</v>
      </c>
      <c r="M134" s="222">
        <f t="shared" si="15"/>
        <v>0</v>
      </c>
      <c r="N134" s="222">
        <f t="shared" si="15"/>
        <v>0</v>
      </c>
      <c r="O134" s="222">
        <f t="shared" si="15"/>
        <v>0</v>
      </c>
      <c r="P134" s="222">
        <f t="shared" si="15"/>
        <v>0</v>
      </c>
      <c r="Q134" s="222">
        <f t="shared" si="15"/>
        <v>0</v>
      </c>
    </row>
    <row r="135" spans="1:17">
      <c r="A135" s="101">
        <v>122</v>
      </c>
      <c r="B135" s="297" t="s">
        <v>449</v>
      </c>
      <c r="C135" s="40">
        <v>0</v>
      </c>
      <c r="D135" s="40">
        <v>0</v>
      </c>
      <c r="E135" s="40">
        <v>0</v>
      </c>
      <c r="F135" s="40">
        <v>0</v>
      </c>
      <c r="G135" s="40">
        <v>0</v>
      </c>
      <c r="H135" s="40">
        <v>0</v>
      </c>
      <c r="I135" s="40">
        <v>0</v>
      </c>
      <c r="J135" s="40">
        <v>0</v>
      </c>
      <c r="K135" s="40">
        <v>0</v>
      </c>
      <c r="L135" s="40">
        <v>0</v>
      </c>
      <c r="M135" s="40">
        <v>0</v>
      </c>
      <c r="N135" s="40">
        <v>0</v>
      </c>
      <c r="O135" s="40">
        <v>0</v>
      </c>
      <c r="P135" s="40">
        <v>0</v>
      </c>
      <c r="Q135" s="40">
        <v>0</v>
      </c>
    </row>
    <row r="136" spans="1:17">
      <c r="A136" s="101">
        <v>123</v>
      </c>
      <c r="B136" s="297" t="s">
        <v>450</v>
      </c>
      <c r="C136" s="40">
        <v>0</v>
      </c>
      <c r="D136" s="40">
        <v>0</v>
      </c>
      <c r="E136" s="40">
        <v>0</v>
      </c>
      <c r="F136" s="40">
        <v>0</v>
      </c>
      <c r="G136" s="40">
        <v>0</v>
      </c>
      <c r="H136" s="40">
        <v>0</v>
      </c>
      <c r="I136" s="40">
        <v>0</v>
      </c>
      <c r="J136" s="40">
        <v>0</v>
      </c>
      <c r="K136" s="40">
        <v>0</v>
      </c>
      <c r="L136" s="40">
        <v>0</v>
      </c>
      <c r="M136" s="40">
        <v>0</v>
      </c>
      <c r="N136" s="40">
        <v>0</v>
      </c>
      <c r="O136" s="40">
        <v>0</v>
      </c>
      <c r="P136" s="40">
        <v>0</v>
      </c>
      <c r="Q136" s="40">
        <v>0</v>
      </c>
    </row>
    <row r="137" spans="1:17">
      <c r="A137" s="101">
        <v>124</v>
      </c>
      <c r="B137" s="297" t="s">
        <v>451</v>
      </c>
      <c r="C137" s="40">
        <v>0</v>
      </c>
      <c r="D137" s="40">
        <v>0</v>
      </c>
      <c r="E137" s="40">
        <v>0</v>
      </c>
      <c r="F137" s="40">
        <v>0</v>
      </c>
      <c r="G137" s="40">
        <v>0</v>
      </c>
      <c r="H137" s="40">
        <v>0</v>
      </c>
      <c r="I137" s="40">
        <v>0</v>
      </c>
      <c r="J137" s="40">
        <v>0</v>
      </c>
      <c r="K137" s="40">
        <v>0</v>
      </c>
      <c r="L137" s="40">
        <v>0</v>
      </c>
      <c r="M137" s="40">
        <v>0</v>
      </c>
      <c r="N137" s="40">
        <v>0</v>
      </c>
      <c r="O137" s="40">
        <v>0</v>
      </c>
      <c r="P137" s="40">
        <v>0</v>
      </c>
      <c r="Q137" s="40">
        <v>0</v>
      </c>
    </row>
    <row r="138" spans="1:17">
      <c r="A138" s="101">
        <v>125</v>
      </c>
      <c r="B138" s="297" t="s">
        <v>452</v>
      </c>
      <c r="C138" s="40">
        <v>0</v>
      </c>
      <c r="D138" s="40">
        <v>0</v>
      </c>
      <c r="E138" s="40">
        <v>0</v>
      </c>
      <c r="F138" s="40">
        <v>0</v>
      </c>
      <c r="G138" s="40">
        <v>0</v>
      </c>
      <c r="H138" s="40">
        <v>0</v>
      </c>
      <c r="I138" s="40">
        <v>0</v>
      </c>
      <c r="J138" s="40">
        <v>0</v>
      </c>
      <c r="K138" s="40">
        <v>0</v>
      </c>
      <c r="L138" s="40">
        <v>0</v>
      </c>
      <c r="M138" s="40">
        <v>0</v>
      </c>
      <c r="N138" s="40">
        <v>0</v>
      </c>
      <c r="O138" s="40">
        <v>0</v>
      </c>
      <c r="P138" s="40">
        <v>0</v>
      </c>
      <c r="Q138" s="40">
        <v>0</v>
      </c>
    </row>
    <row r="139" spans="1:17">
      <c r="A139" s="101">
        <v>126</v>
      </c>
      <c r="B139" s="297" t="s">
        <v>453</v>
      </c>
      <c r="C139" s="40">
        <v>0</v>
      </c>
      <c r="D139" s="40">
        <v>0</v>
      </c>
      <c r="E139" s="40">
        <v>0</v>
      </c>
      <c r="F139" s="40">
        <v>0</v>
      </c>
      <c r="G139" s="40">
        <v>0</v>
      </c>
      <c r="H139" s="40">
        <v>0</v>
      </c>
      <c r="I139" s="40">
        <v>0</v>
      </c>
      <c r="J139" s="40">
        <v>0</v>
      </c>
      <c r="K139" s="40">
        <v>0</v>
      </c>
      <c r="L139" s="40">
        <v>0</v>
      </c>
      <c r="M139" s="40">
        <v>0</v>
      </c>
      <c r="N139" s="40">
        <v>0</v>
      </c>
      <c r="O139" s="40">
        <v>0</v>
      </c>
      <c r="P139" s="40">
        <v>0</v>
      </c>
      <c r="Q139" s="40">
        <v>0</v>
      </c>
    </row>
    <row r="140" spans="1:17">
      <c r="A140" s="294">
        <v>127</v>
      </c>
      <c r="B140" s="297" t="s">
        <v>454</v>
      </c>
      <c r="C140" s="40">
        <v>0</v>
      </c>
      <c r="D140" s="40">
        <v>0</v>
      </c>
      <c r="E140" s="40">
        <v>0</v>
      </c>
      <c r="F140" s="40">
        <v>0</v>
      </c>
      <c r="G140" s="40">
        <v>0</v>
      </c>
      <c r="H140" s="40">
        <v>0</v>
      </c>
      <c r="I140" s="40">
        <v>0</v>
      </c>
      <c r="J140" s="40">
        <v>0</v>
      </c>
      <c r="K140" s="40">
        <v>0</v>
      </c>
      <c r="L140" s="40">
        <v>0</v>
      </c>
      <c r="M140" s="40">
        <v>0</v>
      </c>
      <c r="N140" s="40">
        <v>0</v>
      </c>
      <c r="O140" s="40">
        <v>0</v>
      </c>
      <c r="P140" s="40">
        <v>0</v>
      </c>
      <c r="Q140" s="40">
        <v>0</v>
      </c>
    </row>
    <row r="141" spans="1:17">
      <c r="A141" s="101">
        <v>128</v>
      </c>
      <c r="B141" s="297" t="s">
        <v>455</v>
      </c>
      <c r="C141" s="40">
        <v>0</v>
      </c>
      <c r="D141" s="40">
        <v>0</v>
      </c>
      <c r="E141" s="40">
        <v>0</v>
      </c>
      <c r="F141" s="40">
        <v>0</v>
      </c>
      <c r="G141" s="40">
        <v>0</v>
      </c>
      <c r="H141" s="40">
        <v>0</v>
      </c>
      <c r="I141" s="40">
        <v>0</v>
      </c>
      <c r="J141" s="40">
        <v>0</v>
      </c>
      <c r="K141" s="40">
        <v>0</v>
      </c>
      <c r="L141" s="40">
        <v>0</v>
      </c>
      <c r="M141" s="40">
        <v>0</v>
      </c>
      <c r="N141" s="40">
        <v>0</v>
      </c>
      <c r="O141" s="40">
        <v>0</v>
      </c>
      <c r="P141" s="40">
        <v>0</v>
      </c>
      <c r="Q141" s="40">
        <v>0</v>
      </c>
    </row>
    <row r="142" spans="1:17">
      <c r="A142" s="101">
        <v>129</v>
      </c>
      <c r="B142" s="296" t="s">
        <v>456</v>
      </c>
      <c r="C142" s="222">
        <f>SUM(C143:C148)</f>
        <v>0</v>
      </c>
      <c r="D142" s="222">
        <f t="shared" ref="D142:Q142" si="16">SUM(D143:D148)</f>
        <v>0</v>
      </c>
      <c r="E142" s="222">
        <f t="shared" si="16"/>
        <v>0</v>
      </c>
      <c r="F142" s="222">
        <f t="shared" si="16"/>
        <v>0</v>
      </c>
      <c r="G142" s="222">
        <f t="shared" si="16"/>
        <v>0</v>
      </c>
      <c r="H142" s="222">
        <f t="shared" si="16"/>
        <v>0</v>
      </c>
      <c r="I142" s="222">
        <f t="shared" si="16"/>
        <v>0</v>
      </c>
      <c r="J142" s="222">
        <f t="shared" si="16"/>
        <v>0</v>
      </c>
      <c r="K142" s="222">
        <f t="shared" si="16"/>
        <v>0</v>
      </c>
      <c r="L142" s="222">
        <f t="shared" si="16"/>
        <v>0</v>
      </c>
      <c r="M142" s="222">
        <f t="shared" si="16"/>
        <v>0</v>
      </c>
      <c r="N142" s="222">
        <f t="shared" si="16"/>
        <v>0</v>
      </c>
      <c r="O142" s="222">
        <f t="shared" si="16"/>
        <v>0</v>
      </c>
      <c r="P142" s="222">
        <f t="shared" si="16"/>
        <v>0</v>
      </c>
      <c r="Q142" s="222">
        <f t="shared" si="16"/>
        <v>0</v>
      </c>
    </row>
    <row r="143" spans="1:17">
      <c r="A143" s="101">
        <v>130</v>
      </c>
      <c r="B143" s="297" t="s">
        <v>457</v>
      </c>
      <c r="C143" s="298">
        <v>0</v>
      </c>
      <c r="D143" s="298">
        <v>0</v>
      </c>
      <c r="E143" s="298">
        <v>0</v>
      </c>
      <c r="F143" s="298">
        <v>0</v>
      </c>
      <c r="G143" s="298">
        <v>0</v>
      </c>
      <c r="H143" s="298">
        <v>0</v>
      </c>
      <c r="I143" s="298">
        <v>0</v>
      </c>
      <c r="J143" s="298">
        <v>0</v>
      </c>
      <c r="K143" s="298">
        <v>0</v>
      </c>
      <c r="L143" s="298">
        <v>0</v>
      </c>
      <c r="M143" s="298">
        <v>0</v>
      </c>
      <c r="N143" s="298">
        <v>0</v>
      </c>
      <c r="O143" s="298">
        <v>0</v>
      </c>
      <c r="P143" s="298">
        <v>0</v>
      </c>
      <c r="Q143" s="298">
        <v>0</v>
      </c>
    </row>
    <row r="144" spans="1:17">
      <c r="A144" s="101">
        <v>131</v>
      </c>
      <c r="B144" s="297" t="s">
        <v>458</v>
      </c>
      <c r="C144" s="298">
        <v>0</v>
      </c>
      <c r="D144" s="298">
        <v>0</v>
      </c>
      <c r="E144" s="298">
        <v>0</v>
      </c>
      <c r="F144" s="298">
        <v>0</v>
      </c>
      <c r="G144" s="298">
        <v>0</v>
      </c>
      <c r="H144" s="298">
        <v>0</v>
      </c>
      <c r="I144" s="298">
        <v>0</v>
      </c>
      <c r="J144" s="298">
        <v>0</v>
      </c>
      <c r="K144" s="298">
        <v>0</v>
      </c>
      <c r="L144" s="298">
        <v>0</v>
      </c>
      <c r="M144" s="298">
        <v>0</v>
      </c>
      <c r="N144" s="298">
        <v>0</v>
      </c>
      <c r="O144" s="298">
        <v>0</v>
      </c>
      <c r="P144" s="298">
        <v>0</v>
      </c>
      <c r="Q144" s="298">
        <v>0</v>
      </c>
    </row>
    <row r="145" spans="1:17">
      <c r="A145" s="101">
        <v>132</v>
      </c>
      <c r="B145" s="297" t="s">
        <v>459</v>
      </c>
      <c r="C145" s="298">
        <v>0</v>
      </c>
      <c r="D145" s="298">
        <v>0</v>
      </c>
      <c r="E145" s="298">
        <v>0</v>
      </c>
      <c r="F145" s="298">
        <v>0</v>
      </c>
      <c r="G145" s="298">
        <v>0</v>
      </c>
      <c r="H145" s="298">
        <v>0</v>
      </c>
      <c r="I145" s="298">
        <v>0</v>
      </c>
      <c r="J145" s="298">
        <v>0</v>
      </c>
      <c r="K145" s="298">
        <v>0</v>
      </c>
      <c r="L145" s="298">
        <v>0</v>
      </c>
      <c r="M145" s="298">
        <v>0</v>
      </c>
      <c r="N145" s="298">
        <v>0</v>
      </c>
      <c r="O145" s="298">
        <v>0</v>
      </c>
      <c r="P145" s="298">
        <v>0</v>
      </c>
      <c r="Q145" s="298">
        <v>0</v>
      </c>
    </row>
    <row r="146" spans="1:17">
      <c r="A146" s="294">
        <v>133</v>
      </c>
      <c r="B146" s="297" t="s">
        <v>460</v>
      </c>
      <c r="C146" s="298">
        <v>0</v>
      </c>
      <c r="D146" s="298">
        <v>0</v>
      </c>
      <c r="E146" s="298">
        <v>0</v>
      </c>
      <c r="F146" s="298">
        <v>0</v>
      </c>
      <c r="G146" s="298">
        <v>0</v>
      </c>
      <c r="H146" s="298">
        <v>0</v>
      </c>
      <c r="I146" s="298">
        <v>0</v>
      </c>
      <c r="J146" s="298">
        <v>0</v>
      </c>
      <c r="K146" s="298">
        <v>0</v>
      </c>
      <c r="L146" s="298">
        <v>0</v>
      </c>
      <c r="M146" s="298">
        <v>0</v>
      </c>
      <c r="N146" s="298">
        <v>0</v>
      </c>
      <c r="O146" s="298">
        <v>0</v>
      </c>
      <c r="P146" s="298">
        <v>0</v>
      </c>
      <c r="Q146" s="298">
        <v>0</v>
      </c>
    </row>
    <row r="147" spans="1:17">
      <c r="A147" s="101">
        <v>134</v>
      </c>
      <c r="B147" s="297" t="s">
        <v>461</v>
      </c>
      <c r="C147" s="298">
        <v>0</v>
      </c>
      <c r="D147" s="298">
        <v>0</v>
      </c>
      <c r="E147" s="298">
        <v>0</v>
      </c>
      <c r="F147" s="298">
        <v>0</v>
      </c>
      <c r="G147" s="298">
        <v>0</v>
      </c>
      <c r="H147" s="298">
        <v>0</v>
      </c>
      <c r="I147" s="298">
        <v>0</v>
      </c>
      <c r="J147" s="298">
        <v>0</v>
      </c>
      <c r="K147" s="298">
        <v>0</v>
      </c>
      <c r="L147" s="298">
        <v>0</v>
      </c>
      <c r="M147" s="298">
        <v>0</v>
      </c>
      <c r="N147" s="298">
        <v>0</v>
      </c>
      <c r="O147" s="298">
        <v>0</v>
      </c>
      <c r="P147" s="298">
        <v>0</v>
      </c>
      <c r="Q147" s="298">
        <v>0</v>
      </c>
    </row>
    <row r="148" spans="1:17">
      <c r="A148" s="101">
        <v>135</v>
      </c>
      <c r="B148" s="297" t="s">
        <v>462</v>
      </c>
      <c r="C148" s="298">
        <v>0</v>
      </c>
      <c r="D148" s="298">
        <v>0</v>
      </c>
      <c r="E148" s="298">
        <v>0</v>
      </c>
      <c r="F148" s="298">
        <v>0</v>
      </c>
      <c r="G148" s="298">
        <v>0</v>
      </c>
      <c r="H148" s="298">
        <v>0</v>
      </c>
      <c r="I148" s="298">
        <v>0</v>
      </c>
      <c r="J148" s="298">
        <v>0</v>
      </c>
      <c r="K148" s="298">
        <v>0</v>
      </c>
      <c r="L148" s="298">
        <v>0</v>
      </c>
      <c r="M148" s="298">
        <v>0</v>
      </c>
      <c r="N148" s="298">
        <v>0</v>
      </c>
      <c r="O148" s="298">
        <v>0</v>
      </c>
      <c r="P148" s="298">
        <v>0</v>
      </c>
      <c r="Q148" s="298">
        <v>0</v>
      </c>
    </row>
    <row r="149" spans="1:17">
      <c r="A149" s="101">
        <v>136</v>
      </c>
      <c r="B149" s="296" t="s">
        <v>463</v>
      </c>
      <c r="C149" s="222">
        <f>SUM(C150:C158)</f>
        <v>0</v>
      </c>
      <c r="D149" s="222">
        <f t="shared" ref="D149:Q149" si="17">SUM(D150:D158)</f>
        <v>0</v>
      </c>
      <c r="E149" s="222">
        <f t="shared" si="17"/>
        <v>0</v>
      </c>
      <c r="F149" s="222">
        <f t="shared" si="17"/>
        <v>0</v>
      </c>
      <c r="G149" s="222">
        <f t="shared" si="17"/>
        <v>0</v>
      </c>
      <c r="H149" s="222">
        <f t="shared" si="17"/>
        <v>0</v>
      </c>
      <c r="I149" s="222">
        <f t="shared" si="17"/>
        <v>0</v>
      </c>
      <c r="J149" s="222">
        <f t="shared" si="17"/>
        <v>0</v>
      </c>
      <c r="K149" s="222">
        <f t="shared" si="17"/>
        <v>0</v>
      </c>
      <c r="L149" s="222">
        <f t="shared" si="17"/>
        <v>0</v>
      </c>
      <c r="M149" s="222">
        <f t="shared" si="17"/>
        <v>0</v>
      </c>
      <c r="N149" s="222">
        <f t="shared" si="17"/>
        <v>0</v>
      </c>
      <c r="O149" s="222">
        <f t="shared" si="17"/>
        <v>0</v>
      </c>
      <c r="P149" s="222">
        <f t="shared" si="17"/>
        <v>0</v>
      </c>
      <c r="Q149" s="222">
        <f t="shared" si="17"/>
        <v>0</v>
      </c>
    </row>
    <row r="150" spans="1:17">
      <c r="A150" s="101">
        <v>137</v>
      </c>
      <c r="B150" s="297" t="s">
        <v>464</v>
      </c>
      <c r="C150" s="40">
        <v>0</v>
      </c>
      <c r="D150" s="40">
        <v>0</v>
      </c>
      <c r="E150" s="40">
        <v>0</v>
      </c>
      <c r="F150" s="40">
        <v>0</v>
      </c>
      <c r="G150" s="40">
        <v>0</v>
      </c>
      <c r="H150" s="40">
        <v>0</v>
      </c>
      <c r="I150" s="40">
        <v>0</v>
      </c>
      <c r="J150" s="40">
        <v>0</v>
      </c>
      <c r="K150" s="40">
        <v>0</v>
      </c>
      <c r="L150" s="40">
        <v>0</v>
      </c>
      <c r="M150" s="40">
        <v>0</v>
      </c>
      <c r="N150" s="40">
        <v>0</v>
      </c>
      <c r="O150" s="40">
        <v>0</v>
      </c>
      <c r="P150" s="40">
        <v>0</v>
      </c>
      <c r="Q150" s="40">
        <v>0</v>
      </c>
    </row>
    <row r="151" spans="1:17">
      <c r="A151" s="101">
        <v>138</v>
      </c>
      <c r="B151" s="297" t="s">
        <v>465</v>
      </c>
      <c r="C151" s="40">
        <v>0</v>
      </c>
      <c r="D151" s="40">
        <v>0</v>
      </c>
      <c r="E151" s="40">
        <v>0</v>
      </c>
      <c r="F151" s="40">
        <v>0</v>
      </c>
      <c r="G151" s="40">
        <v>0</v>
      </c>
      <c r="H151" s="40">
        <v>0</v>
      </c>
      <c r="I151" s="40">
        <v>0</v>
      </c>
      <c r="J151" s="40">
        <v>0</v>
      </c>
      <c r="K151" s="40">
        <v>0</v>
      </c>
      <c r="L151" s="40">
        <v>0</v>
      </c>
      <c r="M151" s="40">
        <v>0</v>
      </c>
      <c r="N151" s="40">
        <v>0</v>
      </c>
      <c r="O151" s="40">
        <v>0</v>
      </c>
      <c r="P151" s="40">
        <v>0</v>
      </c>
      <c r="Q151" s="40">
        <v>0</v>
      </c>
    </row>
    <row r="152" spans="1:17">
      <c r="A152" s="294">
        <v>139</v>
      </c>
      <c r="B152" s="297" t="s">
        <v>466</v>
      </c>
      <c r="C152" s="40">
        <v>0</v>
      </c>
      <c r="D152" s="40">
        <v>0</v>
      </c>
      <c r="E152" s="40">
        <v>0</v>
      </c>
      <c r="F152" s="40">
        <v>0</v>
      </c>
      <c r="G152" s="40">
        <v>0</v>
      </c>
      <c r="H152" s="40">
        <v>0</v>
      </c>
      <c r="I152" s="40">
        <v>0</v>
      </c>
      <c r="J152" s="40">
        <v>0</v>
      </c>
      <c r="K152" s="40">
        <v>0</v>
      </c>
      <c r="L152" s="40">
        <v>0</v>
      </c>
      <c r="M152" s="40">
        <v>0</v>
      </c>
      <c r="N152" s="40">
        <v>0</v>
      </c>
      <c r="O152" s="40">
        <v>0</v>
      </c>
      <c r="P152" s="40">
        <v>0</v>
      </c>
      <c r="Q152" s="40">
        <v>0</v>
      </c>
    </row>
    <row r="153" spans="1:17">
      <c r="A153" s="101">
        <v>140</v>
      </c>
      <c r="B153" s="297" t="s">
        <v>467</v>
      </c>
      <c r="C153" s="40">
        <v>0</v>
      </c>
      <c r="D153" s="40">
        <v>0</v>
      </c>
      <c r="E153" s="40">
        <v>0</v>
      </c>
      <c r="F153" s="40">
        <v>0</v>
      </c>
      <c r="G153" s="40">
        <v>0</v>
      </c>
      <c r="H153" s="40">
        <v>0</v>
      </c>
      <c r="I153" s="40">
        <v>0</v>
      </c>
      <c r="J153" s="40">
        <v>0</v>
      </c>
      <c r="K153" s="40">
        <v>0</v>
      </c>
      <c r="L153" s="40">
        <v>0</v>
      </c>
      <c r="M153" s="40">
        <v>0</v>
      </c>
      <c r="N153" s="40">
        <v>0</v>
      </c>
      <c r="O153" s="40">
        <v>0</v>
      </c>
      <c r="P153" s="40">
        <v>0</v>
      </c>
      <c r="Q153" s="40">
        <v>0</v>
      </c>
    </row>
    <row r="154" spans="1:17">
      <c r="A154" s="101">
        <v>141</v>
      </c>
      <c r="B154" s="297" t="s">
        <v>468</v>
      </c>
      <c r="C154" s="40">
        <v>0</v>
      </c>
      <c r="D154" s="40">
        <v>0</v>
      </c>
      <c r="E154" s="40">
        <v>0</v>
      </c>
      <c r="F154" s="40">
        <v>0</v>
      </c>
      <c r="G154" s="40">
        <v>0</v>
      </c>
      <c r="H154" s="40">
        <v>0</v>
      </c>
      <c r="I154" s="40">
        <v>0</v>
      </c>
      <c r="J154" s="40">
        <v>0</v>
      </c>
      <c r="K154" s="40">
        <v>0</v>
      </c>
      <c r="L154" s="40">
        <v>0</v>
      </c>
      <c r="M154" s="40">
        <v>0</v>
      </c>
      <c r="N154" s="40">
        <v>0</v>
      </c>
      <c r="O154" s="40">
        <v>0</v>
      </c>
      <c r="P154" s="40">
        <v>0</v>
      </c>
      <c r="Q154" s="40">
        <v>0</v>
      </c>
    </row>
    <row r="155" spans="1:17">
      <c r="A155" s="101">
        <v>142</v>
      </c>
      <c r="B155" s="297" t="s">
        <v>469</v>
      </c>
      <c r="C155" s="40">
        <v>0</v>
      </c>
      <c r="D155" s="40">
        <v>0</v>
      </c>
      <c r="E155" s="40">
        <v>0</v>
      </c>
      <c r="F155" s="40">
        <v>0</v>
      </c>
      <c r="G155" s="40">
        <v>0</v>
      </c>
      <c r="H155" s="40">
        <v>0</v>
      </c>
      <c r="I155" s="40">
        <v>0</v>
      </c>
      <c r="J155" s="40">
        <v>0</v>
      </c>
      <c r="K155" s="40">
        <v>0</v>
      </c>
      <c r="L155" s="40">
        <v>0</v>
      </c>
      <c r="M155" s="40">
        <v>0</v>
      </c>
      <c r="N155" s="40">
        <v>0</v>
      </c>
      <c r="O155" s="40">
        <v>0</v>
      </c>
      <c r="P155" s="40">
        <v>0</v>
      </c>
      <c r="Q155" s="40">
        <v>0</v>
      </c>
    </row>
    <row r="156" spans="1:17">
      <c r="A156" s="101">
        <v>143</v>
      </c>
      <c r="B156" s="297" t="s">
        <v>470</v>
      </c>
      <c r="C156" s="40">
        <v>0</v>
      </c>
      <c r="D156" s="40">
        <v>0</v>
      </c>
      <c r="E156" s="40">
        <v>0</v>
      </c>
      <c r="F156" s="40">
        <v>0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40">
        <v>0</v>
      </c>
      <c r="M156" s="40">
        <v>0</v>
      </c>
      <c r="N156" s="40">
        <v>0</v>
      </c>
      <c r="O156" s="40">
        <v>0</v>
      </c>
      <c r="P156" s="40">
        <v>0</v>
      </c>
      <c r="Q156" s="40">
        <v>0</v>
      </c>
    </row>
    <row r="157" spans="1:17">
      <c r="A157" s="101">
        <v>144</v>
      </c>
      <c r="B157" s="297" t="s">
        <v>471</v>
      </c>
      <c r="C157" s="40">
        <v>0</v>
      </c>
      <c r="D157" s="40">
        <v>0</v>
      </c>
      <c r="E157" s="40">
        <v>0</v>
      </c>
      <c r="F157" s="40">
        <v>0</v>
      </c>
      <c r="G157" s="40">
        <v>0</v>
      </c>
      <c r="H157" s="40">
        <v>0</v>
      </c>
      <c r="I157" s="40">
        <v>0</v>
      </c>
      <c r="J157" s="40">
        <v>0</v>
      </c>
      <c r="K157" s="40">
        <v>0</v>
      </c>
      <c r="L157" s="40">
        <v>0</v>
      </c>
      <c r="M157" s="40">
        <v>0</v>
      </c>
      <c r="N157" s="40">
        <v>0</v>
      </c>
      <c r="O157" s="40">
        <v>0</v>
      </c>
      <c r="P157" s="40">
        <v>0</v>
      </c>
      <c r="Q157" s="40">
        <v>0</v>
      </c>
    </row>
    <row r="158" spans="1:17">
      <c r="A158" s="294">
        <v>145</v>
      </c>
      <c r="B158" s="297" t="s">
        <v>472</v>
      </c>
      <c r="C158" s="40">
        <v>0</v>
      </c>
      <c r="D158" s="40">
        <v>0</v>
      </c>
      <c r="E158" s="40">
        <v>0</v>
      </c>
      <c r="F158" s="40">
        <v>0</v>
      </c>
      <c r="G158" s="40">
        <v>0</v>
      </c>
      <c r="H158" s="40">
        <v>0</v>
      </c>
      <c r="I158" s="40">
        <v>0</v>
      </c>
      <c r="J158" s="40">
        <v>0</v>
      </c>
      <c r="K158" s="40">
        <v>0</v>
      </c>
      <c r="L158" s="40">
        <v>0</v>
      </c>
      <c r="M158" s="40">
        <v>0</v>
      </c>
      <c r="N158" s="40">
        <v>0</v>
      </c>
      <c r="O158" s="40">
        <v>0</v>
      </c>
      <c r="P158" s="40">
        <v>0</v>
      </c>
      <c r="Q158" s="40">
        <v>0</v>
      </c>
    </row>
    <row r="159" spans="1:17">
      <c r="A159" s="101">
        <v>146</v>
      </c>
      <c r="B159" s="296" t="s">
        <v>473</v>
      </c>
      <c r="C159" s="222">
        <f>SUM(C160:C163)</f>
        <v>0</v>
      </c>
      <c r="D159" s="222">
        <f t="shared" ref="D159:Q159" si="18">SUM(D160:D163)</f>
        <v>0</v>
      </c>
      <c r="E159" s="222">
        <f t="shared" si="18"/>
        <v>0</v>
      </c>
      <c r="F159" s="222">
        <f t="shared" si="18"/>
        <v>0</v>
      </c>
      <c r="G159" s="222">
        <f t="shared" si="18"/>
        <v>0</v>
      </c>
      <c r="H159" s="222">
        <f t="shared" si="18"/>
        <v>0</v>
      </c>
      <c r="I159" s="222">
        <f t="shared" si="18"/>
        <v>0</v>
      </c>
      <c r="J159" s="222">
        <f t="shared" si="18"/>
        <v>0</v>
      </c>
      <c r="K159" s="222">
        <f t="shared" si="18"/>
        <v>0</v>
      </c>
      <c r="L159" s="222">
        <f t="shared" si="18"/>
        <v>0</v>
      </c>
      <c r="M159" s="222">
        <f t="shared" si="18"/>
        <v>0</v>
      </c>
      <c r="N159" s="222">
        <f t="shared" si="18"/>
        <v>0</v>
      </c>
      <c r="O159" s="222">
        <f t="shared" si="18"/>
        <v>0</v>
      </c>
      <c r="P159" s="222">
        <f t="shared" si="18"/>
        <v>0</v>
      </c>
      <c r="Q159" s="222">
        <f t="shared" si="18"/>
        <v>0</v>
      </c>
    </row>
    <row r="160" spans="1:17">
      <c r="A160" s="101">
        <v>147</v>
      </c>
      <c r="B160" s="297" t="s">
        <v>474</v>
      </c>
      <c r="C160" s="40">
        <v>0</v>
      </c>
      <c r="D160" s="40">
        <v>0</v>
      </c>
      <c r="E160" s="40">
        <v>0</v>
      </c>
      <c r="F160" s="40">
        <v>0</v>
      </c>
      <c r="G160" s="40">
        <v>0</v>
      </c>
      <c r="H160" s="40">
        <v>0</v>
      </c>
      <c r="I160" s="40">
        <v>0</v>
      </c>
      <c r="J160" s="40">
        <v>0</v>
      </c>
      <c r="K160" s="40">
        <v>0</v>
      </c>
      <c r="L160" s="40">
        <v>0</v>
      </c>
      <c r="M160" s="40">
        <v>0</v>
      </c>
      <c r="N160" s="40">
        <v>0</v>
      </c>
      <c r="O160" s="40">
        <v>0</v>
      </c>
      <c r="P160" s="40">
        <v>0</v>
      </c>
      <c r="Q160" s="40">
        <v>0</v>
      </c>
    </row>
    <row r="161" spans="1:17">
      <c r="A161" s="101">
        <v>148</v>
      </c>
      <c r="B161" s="297" t="s">
        <v>475</v>
      </c>
      <c r="C161" s="40">
        <v>0</v>
      </c>
      <c r="D161" s="40">
        <v>0</v>
      </c>
      <c r="E161" s="40">
        <v>0</v>
      </c>
      <c r="F161" s="40">
        <v>0</v>
      </c>
      <c r="G161" s="40">
        <v>0</v>
      </c>
      <c r="H161" s="40">
        <v>0</v>
      </c>
      <c r="I161" s="40">
        <v>0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  <c r="P161" s="40">
        <v>0</v>
      </c>
      <c r="Q161" s="40">
        <v>0</v>
      </c>
    </row>
    <row r="162" spans="1:17">
      <c r="A162" s="101">
        <v>149</v>
      </c>
      <c r="B162" s="297" t="s">
        <v>476</v>
      </c>
      <c r="C162" s="40">
        <v>0</v>
      </c>
      <c r="D162" s="40">
        <v>0</v>
      </c>
      <c r="E162" s="40">
        <v>0</v>
      </c>
      <c r="F162" s="40">
        <v>0</v>
      </c>
      <c r="G162" s="40">
        <v>0</v>
      </c>
      <c r="H162" s="40">
        <v>0</v>
      </c>
      <c r="I162" s="40">
        <v>0</v>
      </c>
      <c r="J162" s="40">
        <v>0</v>
      </c>
      <c r="K162" s="40">
        <v>0</v>
      </c>
      <c r="L162" s="40">
        <v>0</v>
      </c>
      <c r="M162" s="40">
        <v>0</v>
      </c>
      <c r="N162" s="40">
        <v>0</v>
      </c>
      <c r="O162" s="40">
        <v>0</v>
      </c>
      <c r="P162" s="40">
        <v>0</v>
      </c>
      <c r="Q162" s="40">
        <v>0</v>
      </c>
    </row>
    <row r="163" spans="1:17">
      <c r="A163" s="101">
        <v>150</v>
      </c>
      <c r="B163" s="297" t="s">
        <v>477</v>
      </c>
      <c r="C163" s="40">
        <v>0</v>
      </c>
      <c r="D163" s="40">
        <v>0</v>
      </c>
      <c r="E163" s="40">
        <v>0</v>
      </c>
      <c r="F163" s="40">
        <v>0</v>
      </c>
      <c r="G163" s="40">
        <v>0</v>
      </c>
      <c r="H163" s="40">
        <v>0</v>
      </c>
      <c r="I163" s="40">
        <v>0</v>
      </c>
      <c r="J163" s="40">
        <v>0</v>
      </c>
      <c r="K163" s="40">
        <v>0</v>
      </c>
      <c r="L163" s="40">
        <v>0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</row>
    <row r="164" spans="1:17">
      <c r="A164" s="294">
        <v>151</v>
      </c>
      <c r="B164" s="296" t="s">
        <v>478</v>
      </c>
      <c r="C164" s="222">
        <f>SUM(C165:C172)</f>
        <v>0</v>
      </c>
      <c r="D164" s="222">
        <f t="shared" ref="D164:Q164" si="19">SUM(D165:D172)</f>
        <v>0</v>
      </c>
      <c r="E164" s="222">
        <f t="shared" si="19"/>
        <v>0</v>
      </c>
      <c r="F164" s="222">
        <f t="shared" si="19"/>
        <v>0</v>
      </c>
      <c r="G164" s="222">
        <f t="shared" si="19"/>
        <v>0</v>
      </c>
      <c r="H164" s="222">
        <f t="shared" si="19"/>
        <v>0</v>
      </c>
      <c r="I164" s="222">
        <f t="shared" si="19"/>
        <v>0</v>
      </c>
      <c r="J164" s="222">
        <f t="shared" si="19"/>
        <v>0</v>
      </c>
      <c r="K164" s="222">
        <f t="shared" si="19"/>
        <v>0</v>
      </c>
      <c r="L164" s="222">
        <f t="shared" si="19"/>
        <v>0</v>
      </c>
      <c r="M164" s="222">
        <f t="shared" si="19"/>
        <v>0</v>
      </c>
      <c r="N164" s="222">
        <f t="shared" si="19"/>
        <v>0</v>
      </c>
      <c r="O164" s="222">
        <f t="shared" si="19"/>
        <v>0</v>
      </c>
      <c r="P164" s="222">
        <f t="shared" si="19"/>
        <v>0</v>
      </c>
      <c r="Q164" s="222">
        <f t="shared" si="19"/>
        <v>0</v>
      </c>
    </row>
    <row r="165" spans="1:17">
      <c r="A165" s="101">
        <v>152</v>
      </c>
      <c r="B165" s="297" t="s">
        <v>479</v>
      </c>
      <c r="C165" s="40">
        <v>0</v>
      </c>
      <c r="D165" s="40">
        <v>0</v>
      </c>
      <c r="E165" s="40">
        <v>0</v>
      </c>
      <c r="F165" s="40">
        <v>0</v>
      </c>
      <c r="G165" s="40">
        <v>0</v>
      </c>
      <c r="H165" s="40">
        <v>0</v>
      </c>
      <c r="I165" s="40">
        <v>0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</row>
    <row r="166" spans="1:17">
      <c r="A166" s="101">
        <v>153</v>
      </c>
      <c r="B166" s="297" t="s">
        <v>480</v>
      </c>
      <c r="C166" s="40">
        <v>0</v>
      </c>
      <c r="D166" s="40">
        <v>0</v>
      </c>
      <c r="E166" s="40">
        <v>0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0</v>
      </c>
      <c r="O166" s="40">
        <v>0</v>
      </c>
      <c r="P166" s="40">
        <v>0</v>
      </c>
      <c r="Q166" s="40">
        <v>0</v>
      </c>
    </row>
    <row r="167" spans="1:17">
      <c r="A167" s="101">
        <v>154</v>
      </c>
      <c r="B167" s="297" t="s">
        <v>481</v>
      </c>
      <c r="C167" s="40">
        <v>0</v>
      </c>
      <c r="D167" s="40">
        <v>0</v>
      </c>
      <c r="E167" s="40">
        <v>0</v>
      </c>
      <c r="F167" s="40">
        <v>0</v>
      </c>
      <c r="G167" s="40">
        <v>0</v>
      </c>
      <c r="H167" s="40">
        <v>0</v>
      </c>
      <c r="I167" s="40">
        <v>0</v>
      </c>
      <c r="J167" s="40">
        <v>0</v>
      </c>
      <c r="K167" s="40">
        <v>0</v>
      </c>
      <c r="L167" s="40">
        <v>0</v>
      </c>
      <c r="M167" s="40">
        <v>0</v>
      </c>
      <c r="N167" s="40">
        <v>0</v>
      </c>
      <c r="O167" s="40">
        <v>0</v>
      </c>
      <c r="P167" s="40">
        <v>0</v>
      </c>
      <c r="Q167" s="40">
        <v>0</v>
      </c>
    </row>
    <row r="168" spans="1:17">
      <c r="A168" s="101">
        <v>155</v>
      </c>
      <c r="B168" s="297" t="s">
        <v>482</v>
      </c>
      <c r="C168" s="40">
        <v>0</v>
      </c>
      <c r="D168" s="40">
        <v>0</v>
      </c>
      <c r="E168" s="40">
        <v>0</v>
      </c>
      <c r="F168" s="40">
        <v>0</v>
      </c>
      <c r="G168" s="40">
        <v>0</v>
      </c>
      <c r="H168" s="40">
        <v>0</v>
      </c>
      <c r="I168" s="40">
        <v>0</v>
      </c>
      <c r="J168" s="40">
        <v>0</v>
      </c>
      <c r="K168" s="40">
        <v>0</v>
      </c>
      <c r="L168" s="40">
        <v>0</v>
      </c>
      <c r="M168" s="40">
        <v>0</v>
      </c>
      <c r="N168" s="40">
        <v>0</v>
      </c>
      <c r="O168" s="40">
        <v>0</v>
      </c>
      <c r="P168" s="40">
        <v>0</v>
      </c>
      <c r="Q168" s="40">
        <v>0</v>
      </c>
    </row>
    <row r="169" spans="1:17">
      <c r="A169" s="101">
        <v>156</v>
      </c>
      <c r="B169" s="297" t="s">
        <v>483</v>
      </c>
      <c r="C169" s="40">
        <v>0</v>
      </c>
      <c r="D169" s="40">
        <v>0</v>
      </c>
      <c r="E169" s="40">
        <v>0</v>
      </c>
      <c r="F169" s="40">
        <v>0</v>
      </c>
      <c r="G169" s="40">
        <v>0</v>
      </c>
      <c r="H169" s="40">
        <v>0</v>
      </c>
      <c r="I169" s="40">
        <v>0</v>
      </c>
      <c r="J169" s="40">
        <v>0</v>
      </c>
      <c r="K169" s="40">
        <v>0</v>
      </c>
      <c r="L169" s="40">
        <v>0</v>
      </c>
      <c r="M169" s="40">
        <v>0</v>
      </c>
      <c r="N169" s="40">
        <v>0</v>
      </c>
      <c r="O169" s="40">
        <v>0</v>
      </c>
      <c r="P169" s="40">
        <v>0</v>
      </c>
      <c r="Q169" s="40">
        <v>0</v>
      </c>
    </row>
    <row r="170" spans="1:17">
      <c r="A170" s="294">
        <v>157</v>
      </c>
      <c r="B170" s="297" t="s">
        <v>484</v>
      </c>
      <c r="C170" s="40">
        <v>0</v>
      </c>
      <c r="D170" s="40">
        <v>0</v>
      </c>
      <c r="E170" s="40">
        <v>0</v>
      </c>
      <c r="F170" s="40">
        <v>0</v>
      </c>
      <c r="G170" s="40">
        <v>0</v>
      </c>
      <c r="H170" s="40">
        <v>0</v>
      </c>
      <c r="I170" s="40">
        <v>0</v>
      </c>
      <c r="J170" s="40">
        <v>0</v>
      </c>
      <c r="K170" s="40">
        <v>0</v>
      </c>
      <c r="L170" s="40">
        <v>0</v>
      </c>
      <c r="M170" s="40">
        <v>0</v>
      </c>
      <c r="N170" s="40">
        <v>0</v>
      </c>
      <c r="O170" s="40">
        <v>0</v>
      </c>
      <c r="P170" s="40">
        <v>0</v>
      </c>
      <c r="Q170" s="40">
        <v>0</v>
      </c>
    </row>
    <row r="171" spans="1:17">
      <c r="A171" s="101">
        <v>158</v>
      </c>
      <c r="B171" s="297" t="s">
        <v>485</v>
      </c>
      <c r="C171" s="40">
        <v>0</v>
      </c>
      <c r="D171" s="40">
        <v>0</v>
      </c>
      <c r="E171" s="40">
        <v>0</v>
      </c>
      <c r="F171" s="40">
        <v>0</v>
      </c>
      <c r="G171" s="40">
        <v>0</v>
      </c>
      <c r="H171" s="40">
        <v>0</v>
      </c>
      <c r="I171" s="40">
        <v>0</v>
      </c>
      <c r="J171" s="40">
        <v>0</v>
      </c>
      <c r="K171" s="40">
        <v>0</v>
      </c>
      <c r="L171" s="40">
        <v>0</v>
      </c>
      <c r="M171" s="40">
        <v>0</v>
      </c>
      <c r="N171" s="40">
        <v>0</v>
      </c>
      <c r="O171" s="40">
        <v>0</v>
      </c>
      <c r="P171" s="40">
        <v>0</v>
      </c>
      <c r="Q171" s="40">
        <v>0</v>
      </c>
    </row>
    <row r="172" spans="1:17">
      <c r="A172" s="101">
        <v>159</v>
      </c>
      <c r="B172" s="297" t="s">
        <v>486</v>
      </c>
      <c r="C172" s="40">
        <v>0</v>
      </c>
      <c r="D172" s="40">
        <v>0</v>
      </c>
      <c r="E172" s="40">
        <v>0</v>
      </c>
      <c r="F172" s="40">
        <v>0</v>
      </c>
      <c r="G172" s="40">
        <v>0</v>
      </c>
      <c r="H172" s="40">
        <v>0</v>
      </c>
      <c r="I172" s="40">
        <v>0</v>
      </c>
      <c r="J172" s="40">
        <v>0</v>
      </c>
      <c r="K172" s="40">
        <v>0</v>
      </c>
      <c r="L172" s="40">
        <v>0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</row>
    <row r="173" spans="1:17">
      <c r="A173" s="101">
        <v>160</v>
      </c>
      <c r="B173" s="296" t="s">
        <v>487</v>
      </c>
      <c r="C173" s="222">
        <f>SUM(C174:C179)</f>
        <v>0</v>
      </c>
      <c r="D173" s="222">
        <f t="shared" ref="D173:Q173" si="20">SUM(D174:D179)</f>
        <v>0</v>
      </c>
      <c r="E173" s="222">
        <f t="shared" si="20"/>
        <v>0</v>
      </c>
      <c r="F173" s="222">
        <f t="shared" si="20"/>
        <v>0</v>
      </c>
      <c r="G173" s="222">
        <f t="shared" si="20"/>
        <v>0</v>
      </c>
      <c r="H173" s="222">
        <f t="shared" si="20"/>
        <v>0</v>
      </c>
      <c r="I173" s="222">
        <f t="shared" si="20"/>
        <v>0</v>
      </c>
      <c r="J173" s="222">
        <f t="shared" si="20"/>
        <v>0</v>
      </c>
      <c r="K173" s="222">
        <f t="shared" si="20"/>
        <v>0</v>
      </c>
      <c r="L173" s="222">
        <f t="shared" si="20"/>
        <v>0</v>
      </c>
      <c r="M173" s="222">
        <f t="shared" si="20"/>
        <v>0</v>
      </c>
      <c r="N173" s="222">
        <f t="shared" si="20"/>
        <v>0</v>
      </c>
      <c r="O173" s="222">
        <f t="shared" si="20"/>
        <v>0</v>
      </c>
      <c r="P173" s="222">
        <f t="shared" si="20"/>
        <v>0</v>
      </c>
      <c r="Q173" s="222">
        <f t="shared" si="20"/>
        <v>0</v>
      </c>
    </row>
    <row r="174" spans="1:17">
      <c r="A174" s="101">
        <v>161</v>
      </c>
      <c r="B174" s="297" t="s">
        <v>488</v>
      </c>
      <c r="C174" s="40">
        <v>0</v>
      </c>
      <c r="D174" s="40">
        <v>0</v>
      </c>
      <c r="E174" s="40">
        <v>0</v>
      </c>
      <c r="F174" s="40">
        <v>0</v>
      </c>
      <c r="G174" s="40">
        <v>0</v>
      </c>
      <c r="H174" s="40">
        <v>0</v>
      </c>
      <c r="I174" s="40">
        <v>0</v>
      </c>
      <c r="J174" s="40">
        <v>0</v>
      </c>
      <c r="K174" s="40">
        <v>0</v>
      </c>
      <c r="L174" s="40">
        <v>0</v>
      </c>
      <c r="M174" s="40">
        <v>0</v>
      </c>
      <c r="N174" s="40">
        <v>0</v>
      </c>
      <c r="O174" s="40">
        <v>0</v>
      </c>
      <c r="P174" s="40">
        <v>0</v>
      </c>
      <c r="Q174" s="40">
        <v>0</v>
      </c>
    </row>
    <row r="175" spans="1:17">
      <c r="A175" s="101">
        <v>162</v>
      </c>
      <c r="B175" s="297" t="s">
        <v>489</v>
      </c>
      <c r="C175" s="40">
        <v>0</v>
      </c>
      <c r="D175" s="40">
        <v>0</v>
      </c>
      <c r="E175" s="40">
        <v>0</v>
      </c>
      <c r="F175" s="40">
        <v>0</v>
      </c>
      <c r="G175" s="40">
        <v>0</v>
      </c>
      <c r="H175" s="40">
        <v>0</v>
      </c>
      <c r="I175" s="40">
        <v>0</v>
      </c>
      <c r="J175" s="40">
        <v>0</v>
      </c>
      <c r="K175" s="40">
        <v>0</v>
      </c>
      <c r="L175" s="40">
        <v>0</v>
      </c>
      <c r="M175" s="40">
        <v>0</v>
      </c>
      <c r="N175" s="40">
        <v>0</v>
      </c>
      <c r="O175" s="40">
        <v>0</v>
      </c>
      <c r="P175" s="40">
        <v>0</v>
      </c>
      <c r="Q175" s="40">
        <v>0</v>
      </c>
    </row>
    <row r="176" spans="1:17">
      <c r="A176" s="294">
        <v>163</v>
      </c>
      <c r="B176" s="297" t="s">
        <v>490</v>
      </c>
      <c r="C176" s="40">
        <v>0</v>
      </c>
      <c r="D176" s="40">
        <v>0</v>
      </c>
      <c r="E176" s="40">
        <v>0</v>
      </c>
      <c r="F176" s="40">
        <v>0</v>
      </c>
      <c r="G176" s="40">
        <v>0</v>
      </c>
      <c r="H176" s="40">
        <v>0</v>
      </c>
      <c r="I176" s="40">
        <v>0</v>
      </c>
      <c r="J176" s="40">
        <v>0</v>
      </c>
      <c r="K176" s="40">
        <v>0</v>
      </c>
      <c r="L176" s="40">
        <v>0</v>
      </c>
      <c r="M176" s="40">
        <v>0</v>
      </c>
      <c r="N176" s="40">
        <v>0</v>
      </c>
      <c r="O176" s="40">
        <v>0</v>
      </c>
      <c r="P176" s="40">
        <v>0</v>
      </c>
      <c r="Q176" s="40">
        <v>0</v>
      </c>
    </row>
    <row r="177" spans="1:17">
      <c r="A177" s="101">
        <v>164</v>
      </c>
      <c r="B177" s="297" t="s">
        <v>491</v>
      </c>
      <c r="C177" s="40">
        <v>0</v>
      </c>
      <c r="D177" s="40">
        <v>0</v>
      </c>
      <c r="E177" s="40">
        <v>0</v>
      </c>
      <c r="F177" s="40">
        <v>0</v>
      </c>
      <c r="G177" s="40">
        <v>0</v>
      </c>
      <c r="H177" s="40">
        <v>0</v>
      </c>
      <c r="I177" s="40">
        <v>0</v>
      </c>
      <c r="J177" s="40">
        <v>0</v>
      </c>
      <c r="K177" s="40">
        <v>0</v>
      </c>
      <c r="L177" s="40">
        <v>0</v>
      </c>
      <c r="M177" s="40">
        <v>0</v>
      </c>
      <c r="N177" s="40">
        <v>0</v>
      </c>
      <c r="O177" s="40">
        <v>0</v>
      </c>
      <c r="P177" s="40">
        <v>0</v>
      </c>
      <c r="Q177" s="40">
        <v>0</v>
      </c>
    </row>
    <row r="178" spans="1:17">
      <c r="A178" s="101">
        <v>165</v>
      </c>
      <c r="B178" s="297" t="s">
        <v>492</v>
      </c>
      <c r="C178" s="40">
        <v>0</v>
      </c>
      <c r="D178" s="40">
        <v>0</v>
      </c>
      <c r="E178" s="40">
        <v>0</v>
      </c>
      <c r="F178" s="40">
        <v>0</v>
      </c>
      <c r="G178" s="40">
        <v>0</v>
      </c>
      <c r="H178" s="40">
        <v>0</v>
      </c>
      <c r="I178" s="40">
        <v>0</v>
      </c>
      <c r="J178" s="40">
        <v>0</v>
      </c>
      <c r="K178" s="40">
        <v>0</v>
      </c>
      <c r="L178" s="40">
        <v>0</v>
      </c>
      <c r="M178" s="40">
        <v>0</v>
      </c>
      <c r="N178" s="40">
        <v>0</v>
      </c>
      <c r="O178" s="40">
        <v>0</v>
      </c>
      <c r="P178" s="40">
        <v>0</v>
      </c>
      <c r="Q178" s="40">
        <v>0</v>
      </c>
    </row>
    <row r="179" spans="1:17">
      <c r="A179" s="101">
        <v>166</v>
      </c>
      <c r="B179" s="297" t="s">
        <v>493</v>
      </c>
      <c r="C179" s="40">
        <v>0</v>
      </c>
      <c r="D179" s="40">
        <v>0</v>
      </c>
      <c r="E179" s="40">
        <v>0</v>
      </c>
      <c r="F179" s="40">
        <v>0</v>
      </c>
      <c r="G179" s="40">
        <v>0</v>
      </c>
      <c r="H179" s="40">
        <v>0</v>
      </c>
      <c r="I179" s="40">
        <v>0</v>
      </c>
      <c r="J179" s="40">
        <v>0</v>
      </c>
      <c r="K179" s="40">
        <v>0</v>
      </c>
      <c r="L179" s="40">
        <v>0</v>
      </c>
      <c r="M179" s="40">
        <v>0</v>
      </c>
      <c r="N179" s="40">
        <v>0</v>
      </c>
      <c r="O179" s="40">
        <v>0</v>
      </c>
      <c r="P179" s="40">
        <v>0</v>
      </c>
      <c r="Q179" s="40">
        <v>0</v>
      </c>
    </row>
    <row r="180" spans="1:17">
      <c r="A180" s="101">
        <v>167</v>
      </c>
      <c r="B180" s="296" t="s">
        <v>494</v>
      </c>
      <c r="C180" s="222">
        <f>SUM(C181:C186)</f>
        <v>0</v>
      </c>
      <c r="D180" s="222">
        <f t="shared" ref="D180:Q180" si="21">SUM(D181:D186)</f>
        <v>0</v>
      </c>
      <c r="E180" s="222">
        <f t="shared" si="21"/>
        <v>0</v>
      </c>
      <c r="F180" s="222">
        <f t="shared" si="21"/>
        <v>0</v>
      </c>
      <c r="G180" s="222">
        <f t="shared" si="21"/>
        <v>0</v>
      </c>
      <c r="H180" s="222">
        <f t="shared" si="21"/>
        <v>0</v>
      </c>
      <c r="I180" s="222">
        <f t="shared" si="21"/>
        <v>0</v>
      </c>
      <c r="J180" s="222">
        <f t="shared" si="21"/>
        <v>0</v>
      </c>
      <c r="K180" s="222">
        <f t="shared" si="21"/>
        <v>0</v>
      </c>
      <c r="L180" s="222">
        <f t="shared" si="21"/>
        <v>0</v>
      </c>
      <c r="M180" s="222">
        <f t="shared" si="21"/>
        <v>0</v>
      </c>
      <c r="N180" s="222">
        <f t="shared" si="21"/>
        <v>0</v>
      </c>
      <c r="O180" s="222">
        <f t="shared" si="21"/>
        <v>0</v>
      </c>
      <c r="P180" s="222">
        <f t="shared" si="21"/>
        <v>0</v>
      </c>
      <c r="Q180" s="222">
        <f t="shared" si="21"/>
        <v>0</v>
      </c>
    </row>
    <row r="181" spans="1:17">
      <c r="A181" s="101">
        <v>168</v>
      </c>
      <c r="B181" s="297" t="s">
        <v>495</v>
      </c>
      <c r="C181" s="40">
        <v>0</v>
      </c>
      <c r="D181" s="40">
        <v>0</v>
      </c>
      <c r="E181" s="40">
        <v>0</v>
      </c>
      <c r="F181" s="40">
        <v>0</v>
      </c>
      <c r="G181" s="40">
        <v>0</v>
      </c>
      <c r="H181" s="40">
        <v>0</v>
      </c>
      <c r="I181" s="40">
        <v>0</v>
      </c>
      <c r="J181" s="40">
        <v>0</v>
      </c>
      <c r="K181" s="40">
        <v>0</v>
      </c>
      <c r="L181" s="40">
        <v>0</v>
      </c>
      <c r="M181" s="40">
        <v>0</v>
      </c>
      <c r="N181" s="40">
        <v>0</v>
      </c>
      <c r="O181" s="40">
        <v>0</v>
      </c>
      <c r="P181" s="40">
        <v>0</v>
      </c>
      <c r="Q181" s="40">
        <v>0</v>
      </c>
    </row>
    <row r="182" spans="1:17">
      <c r="A182" s="294">
        <v>169</v>
      </c>
      <c r="B182" s="297" t="s">
        <v>496</v>
      </c>
      <c r="C182" s="40">
        <v>0</v>
      </c>
      <c r="D182" s="40">
        <v>0</v>
      </c>
      <c r="E182" s="40">
        <v>0</v>
      </c>
      <c r="F182" s="40">
        <v>0</v>
      </c>
      <c r="G182" s="40">
        <v>0</v>
      </c>
      <c r="H182" s="40">
        <v>0</v>
      </c>
      <c r="I182" s="40">
        <v>0</v>
      </c>
      <c r="J182" s="40">
        <v>0</v>
      </c>
      <c r="K182" s="40">
        <v>0</v>
      </c>
      <c r="L182" s="40">
        <v>0</v>
      </c>
      <c r="M182" s="40">
        <v>0</v>
      </c>
      <c r="N182" s="40">
        <v>0</v>
      </c>
      <c r="O182" s="40">
        <v>0</v>
      </c>
      <c r="P182" s="40">
        <v>0</v>
      </c>
      <c r="Q182" s="40">
        <v>0</v>
      </c>
    </row>
    <row r="183" spans="1:17">
      <c r="A183" s="101">
        <v>170</v>
      </c>
      <c r="B183" s="297" t="s">
        <v>497</v>
      </c>
      <c r="C183" s="40">
        <v>0</v>
      </c>
      <c r="D183" s="40">
        <v>0</v>
      </c>
      <c r="E183" s="40">
        <v>0</v>
      </c>
      <c r="F183" s="40">
        <v>0</v>
      </c>
      <c r="G183" s="40">
        <v>0</v>
      </c>
      <c r="H183" s="40">
        <v>0</v>
      </c>
      <c r="I183" s="40">
        <v>0</v>
      </c>
      <c r="J183" s="40">
        <v>0</v>
      </c>
      <c r="K183" s="40">
        <v>0</v>
      </c>
      <c r="L183" s="40">
        <v>0</v>
      </c>
      <c r="M183" s="40">
        <v>0</v>
      </c>
      <c r="N183" s="40">
        <v>0</v>
      </c>
      <c r="O183" s="40">
        <v>0</v>
      </c>
      <c r="P183" s="40">
        <v>0</v>
      </c>
      <c r="Q183" s="40">
        <v>0</v>
      </c>
    </row>
    <row r="184" spans="1:17">
      <c r="A184" s="101">
        <v>171</v>
      </c>
      <c r="B184" s="297" t="s">
        <v>498</v>
      </c>
      <c r="C184" s="40">
        <v>0</v>
      </c>
      <c r="D184" s="40">
        <v>0</v>
      </c>
      <c r="E184" s="40">
        <v>0</v>
      </c>
      <c r="F184" s="40">
        <v>0</v>
      </c>
      <c r="G184" s="40">
        <v>0</v>
      </c>
      <c r="H184" s="40">
        <v>0</v>
      </c>
      <c r="I184" s="40">
        <v>0</v>
      </c>
      <c r="J184" s="40">
        <v>0</v>
      </c>
      <c r="K184" s="40">
        <v>0</v>
      </c>
      <c r="L184" s="40">
        <v>0</v>
      </c>
      <c r="M184" s="40">
        <v>0</v>
      </c>
      <c r="N184" s="40">
        <v>0</v>
      </c>
      <c r="O184" s="40">
        <v>0</v>
      </c>
      <c r="P184" s="40">
        <v>0</v>
      </c>
      <c r="Q184" s="40">
        <v>0</v>
      </c>
    </row>
    <row r="185" spans="1:17">
      <c r="A185" s="101">
        <v>172</v>
      </c>
      <c r="B185" s="297" t="s">
        <v>499</v>
      </c>
      <c r="C185" s="40">
        <v>0</v>
      </c>
      <c r="D185" s="40">
        <v>0</v>
      </c>
      <c r="E185" s="40">
        <v>0</v>
      </c>
      <c r="F185" s="40">
        <v>0</v>
      </c>
      <c r="G185" s="40">
        <v>0</v>
      </c>
      <c r="H185" s="40">
        <v>0</v>
      </c>
      <c r="I185" s="40">
        <v>0</v>
      </c>
      <c r="J185" s="40">
        <v>0</v>
      </c>
      <c r="K185" s="40">
        <v>0</v>
      </c>
      <c r="L185" s="40">
        <v>0</v>
      </c>
      <c r="M185" s="40">
        <v>0</v>
      </c>
      <c r="N185" s="40">
        <v>0</v>
      </c>
      <c r="O185" s="40">
        <v>0</v>
      </c>
      <c r="P185" s="40">
        <v>0</v>
      </c>
      <c r="Q185" s="40">
        <v>0</v>
      </c>
    </row>
    <row r="186" spans="1:17">
      <c r="A186" s="101">
        <v>173</v>
      </c>
      <c r="B186" s="297" t="s">
        <v>500</v>
      </c>
      <c r="C186" s="40">
        <v>0</v>
      </c>
      <c r="D186" s="40">
        <v>0</v>
      </c>
      <c r="E186" s="40">
        <v>0</v>
      </c>
      <c r="F186" s="40">
        <v>0</v>
      </c>
      <c r="G186" s="40">
        <v>0</v>
      </c>
      <c r="H186" s="40">
        <v>0</v>
      </c>
      <c r="I186" s="40">
        <v>0</v>
      </c>
      <c r="J186" s="40">
        <v>0</v>
      </c>
      <c r="K186" s="40">
        <v>0</v>
      </c>
      <c r="L186" s="40">
        <v>0</v>
      </c>
      <c r="M186" s="40">
        <v>0</v>
      </c>
      <c r="N186" s="40">
        <v>0</v>
      </c>
      <c r="O186" s="40">
        <v>0</v>
      </c>
      <c r="P186" s="40">
        <v>0</v>
      </c>
      <c r="Q186" s="40">
        <v>0</v>
      </c>
    </row>
    <row r="187" spans="1:17">
      <c r="A187" s="101">
        <v>174</v>
      </c>
      <c r="B187" s="296" t="s">
        <v>501</v>
      </c>
      <c r="C187" s="222">
        <f>SUM(C188:C194)</f>
        <v>0</v>
      </c>
      <c r="D187" s="222">
        <f t="shared" ref="D187:Q187" si="22">SUM(D188:D194)</f>
        <v>0</v>
      </c>
      <c r="E187" s="222">
        <f t="shared" si="22"/>
        <v>0</v>
      </c>
      <c r="F187" s="222">
        <f t="shared" si="22"/>
        <v>0</v>
      </c>
      <c r="G187" s="222">
        <f t="shared" si="22"/>
        <v>0</v>
      </c>
      <c r="H187" s="222">
        <f t="shared" si="22"/>
        <v>0</v>
      </c>
      <c r="I187" s="222">
        <f t="shared" si="22"/>
        <v>0</v>
      </c>
      <c r="J187" s="222">
        <f t="shared" si="22"/>
        <v>0</v>
      </c>
      <c r="K187" s="222">
        <f t="shared" si="22"/>
        <v>0</v>
      </c>
      <c r="L187" s="222">
        <f t="shared" si="22"/>
        <v>0</v>
      </c>
      <c r="M187" s="222">
        <f t="shared" si="22"/>
        <v>0</v>
      </c>
      <c r="N187" s="222">
        <f t="shared" si="22"/>
        <v>0</v>
      </c>
      <c r="O187" s="222">
        <f t="shared" si="22"/>
        <v>0</v>
      </c>
      <c r="P187" s="222">
        <f t="shared" si="22"/>
        <v>0</v>
      </c>
      <c r="Q187" s="222">
        <f t="shared" si="22"/>
        <v>0</v>
      </c>
    </row>
    <row r="188" spans="1:17">
      <c r="A188" s="294">
        <v>175</v>
      </c>
      <c r="B188" s="297" t="s">
        <v>502</v>
      </c>
      <c r="C188" s="40">
        <v>0</v>
      </c>
      <c r="D188" s="40">
        <v>0</v>
      </c>
      <c r="E188" s="40">
        <v>0</v>
      </c>
      <c r="F188" s="40">
        <v>0</v>
      </c>
      <c r="G188" s="40">
        <v>0</v>
      </c>
      <c r="H188" s="40">
        <v>0</v>
      </c>
      <c r="I188" s="40">
        <v>0</v>
      </c>
      <c r="J188" s="40">
        <v>0</v>
      </c>
      <c r="K188" s="40">
        <v>0</v>
      </c>
      <c r="L188" s="40">
        <v>0</v>
      </c>
      <c r="M188" s="40">
        <v>0</v>
      </c>
      <c r="N188" s="40">
        <v>0</v>
      </c>
      <c r="O188" s="40">
        <v>0</v>
      </c>
      <c r="P188" s="40">
        <v>0</v>
      </c>
      <c r="Q188" s="40">
        <v>0</v>
      </c>
    </row>
    <row r="189" spans="1:17">
      <c r="A189" s="101">
        <v>176</v>
      </c>
      <c r="B189" s="297" t="s">
        <v>503</v>
      </c>
      <c r="C189" s="40">
        <v>0</v>
      </c>
      <c r="D189" s="40">
        <v>0</v>
      </c>
      <c r="E189" s="40">
        <v>0</v>
      </c>
      <c r="F189" s="40">
        <v>0</v>
      </c>
      <c r="G189" s="40">
        <v>0</v>
      </c>
      <c r="H189" s="40">
        <v>0</v>
      </c>
      <c r="I189" s="40">
        <v>0</v>
      </c>
      <c r="J189" s="40">
        <v>0</v>
      </c>
      <c r="K189" s="40">
        <v>0</v>
      </c>
      <c r="L189" s="40">
        <v>0</v>
      </c>
      <c r="M189" s="40">
        <v>0</v>
      </c>
      <c r="N189" s="40">
        <v>0</v>
      </c>
      <c r="O189" s="40">
        <v>0</v>
      </c>
      <c r="P189" s="40">
        <v>0</v>
      </c>
      <c r="Q189" s="40">
        <v>0</v>
      </c>
    </row>
    <row r="190" spans="1:17">
      <c r="A190" s="101">
        <v>177</v>
      </c>
      <c r="B190" s="297" t="s">
        <v>504</v>
      </c>
      <c r="C190" s="40">
        <v>0</v>
      </c>
      <c r="D190" s="40">
        <v>0</v>
      </c>
      <c r="E190" s="40">
        <v>0</v>
      </c>
      <c r="F190" s="40">
        <v>0</v>
      </c>
      <c r="G190" s="40">
        <v>0</v>
      </c>
      <c r="H190" s="40">
        <v>0</v>
      </c>
      <c r="I190" s="40">
        <v>0</v>
      </c>
      <c r="J190" s="40">
        <v>0</v>
      </c>
      <c r="K190" s="40">
        <v>0</v>
      </c>
      <c r="L190" s="40">
        <v>0</v>
      </c>
      <c r="M190" s="40">
        <v>0</v>
      </c>
      <c r="N190" s="40">
        <v>0</v>
      </c>
      <c r="O190" s="40">
        <v>0</v>
      </c>
      <c r="P190" s="40">
        <v>0</v>
      </c>
      <c r="Q190" s="40">
        <v>0</v>
      </c>
    </row>
    <row r="191" spans="1:17">
      <c r="A191" s="101">
        <v>178</v>
      </c>
      <c r="B191" s="297" t="s">
        <v>505</v>
      </c>
      <c r="C191" s="40">
        <v>0</v>
      </c>
      <c r="D191" s="40">
        <v>0</v>
      </c>
      <c r="E191" s="40">
        <v>0</v>
      </c>
      <c r="F191" s="40">
        <v>0</v>
      </c>
      <c r="G191" s="40">
        <v>0</v>
      </c>
      <c r="H191" s="40">
        <v>0</v>
      </c>
      <c r="I191" s="40">
        <v>0</v>
      </c>
      <c r="J191" s="40">
        <v>0</v>
      </c>
      <c r="K191" s="40">
        <v>0</v>
      </c>
      <c r="L191" s="40">
        <v>0</v>
      </c>
      <c r="M191" s="40">
        <v>0</v>
      </c>
      <c r="N191" s="40">
        <v>0</v>
      </c>
      <c r="O191" s="40">
        <v>0</v>
      </c>
      <c r="P191" s="40">
        <v>0</v>
      </c>
      <c r="Q191" s="40">
        <v>0</v>
      </c>
    </row>
    <row r="192" spans="1:17">
      <c r="A192" s="101">
        <v>179</v>
      </c>
      <c r="B192" s="297" t="s">
        <v>506</v>
      </c>
      <c r="C192" s="40">
        <v>0</v>
      </c>
      <c r="D192" s="40">
        <v>0</v>
      </c>
      <c r="E192" s="40">
        <v>0</v>
      </c>
      <c r="F192" s="40">
        <v>0</v>
      </c>
      <c r="G192" s="40">
        <v>0</v>
      </c>
      <c r="H192" s="40">
        <v>0</v>
      </c>
      <c r="I192" s="40">
        <v>0</v>
      </c>
      <c r="J192" s="40">
        <v>0</v>
      </c>
      <c r="K192" s="40">
        <v>0</v>
      </c>
      <c r="L192" s="40">
        <v>0</v>
      </c>
      <c r="M192" s="40">
        <v>0</v>
      </c>
      <c r="N192" s="40">
        <v>0</v>
      </c>
      <c r="O192" s="40">
        <v>0</v>
      </c>
      <c r="P192" s="40">
        <v>0</v>
      </c>
      <c r="Q192" s="40">
        <v>0</v>
      </c>
    </row>
    <row r="193" spans="1:17">
      <c r="A193" s="101">
        <v>180</v>
      </c>
      <c r="B193" s="297" t="s">
        <v>507</v>
      </c>
      <c r="C193" s="40">
        <v>0</v>
      </c>
      <c r="D193" s="40">
        <v>0</v>
      </c>
      <c r="E193" s="40">
        <v>0</v>
      </c>
      <c r="F193" s="40">
        <v>0</v>
      </c>
      <c r="G193" s="40">
        <v>0</v>
      </c>
      <c r="H193" s="40">
        <v>0</v>
      </c>
      <c r="I193" s="40">
        <v>0</v>
      </c>
      <c r="J193" s="40">
        <v>0</v>
      </c>
      <c r="K193" s="40">
        <v>0</v>
      </c>
      <c r="L193" s="40">
        <v>0</v>
      </c>
      <c r="M193" s="40">
        <v>0</v>
      </c>
      <c r="N193" s="40">
        <v>0</v>
      </c>
      <c r="O193" s="40">
        <v>0</v>
      </c>
      <c r="P193" s="40">
        <v>0</v>
      </c>
      <c r="Q193" s="40">
        <v>0</v>
      </c>
    </row>
    <row r="194" spans="1:17">
      <c r="A194" s="294">
        <v>181</v>
      </c>
      <c r="B194" s="297" t="s">
        <v>508</v>
      </c>
      <c r="C194" s="40">
        <v>0</v>
      </c>
      <c r="D194" s="40">
        <v>0</v>
      </c>
      <c r="E194" s="40">
        <v>0</v>
      </c>
      <c r="F194" s="40">
        <v>0</v>
      </c>
      <c r="G194" s="40">
        <v>0</v>
      </c>
      <c r="H194" s="40">
        <v>0</v>
      </c>
      <c r="I194" s="40">
        <v>0</v>
      </c>
      <c r="J194" s="40">
        <v>0</v>
      </c>
      <c r="K194" s="40">
        <v>0</v>
      </c>
      <c r="L194" s="40">
        <v>0</v>
      </c>
      <c r="M194" s="40">
        <v>0</v>
      </c>
      <c r="N194" s="40">
        <v>0</v>
      </c>
      <c r="O194" s="40">
        <v>0</v>
      </c>
      <c r="P194" s="40">
        <v>0</v>
      </c>
      <c r="Q194" s="40">
        <v>0</v>
      </c>
    </row>
    <row r="195" spans="1:17">
      <c r="A195" s="101">
        <v>182</v>
      </c>
      <c r="B195" s="296" t="s">
        <v>509</v>
      </c>
      <c r="C195" s="222">
        <f>SUM(C196:C200)</f>
        <v>0</v>
      </c>
      <c r="D195" s="222">
        <f t="shared" ref="D195:Q195" si="23">SUM(D196:D200)</f>
        <v>0</v>
      </c>
      <c r="E195" s="222">
        <f t="shared" si="23"/>
        <v>0</v>
      </c>
      <c r="F195" s="222">
        <f t="shared" si="23"/>
        <v>0</v>
      </c>
      <c r="G195" s="222">
        <f t="shared" si="23"/>
        <v>0</v>
      </c>
      <c r="H195" s="222">
        <f t="shared" si="23"/>
        <v>0</v>
      </c>
      <c r="I195" s="222">
        <f t="shared" si="23"/>
        <v>0</v>
      </c>
      <c r="J195" s="222">
        <f t="shared" si="23"/>
        <v>0</v>
      </c>
      <c r="K195" s="222">
        <f t="shared" si="23"/>
        <v>0</v>
      </c>
      <c r="L195" s="222">
        <f t="shared" si="23"/>
        <v>0</v>
      </c>
      <c r="M195" s="222">
        <f t="shared" si="23"/>
        <v>0</v>
      </c>
      <c r="N195" s="222">
        <f t="shared" si="23"/>
        <v>0</v>
      </c>
      <c r="O195" s="222">
        <f t="shared" si="23"/>
        <v>0</v>
      </c>
      <c r="P195" s="222">
        <f t="shared" si="23"/>
        <v>0</v>
      </c>
      <c r="Q195" s="222">
        <f t="shared" si="23"/>
        <v>0</v>
      </c>
    </row>
    <row r="196" spans="1:17">
      <c r="A196" s="101">
        <v>183</v>
      </c>
      <c r="B196" s="297" t="s">
        <v>510</v>
      </c>
      <c r="C196" s="40">
        <v>0</v>
      </c>
      <c r="D196" s="40">
        <v>0</v>
      </c>
      <c r="E196" s="40">
        <v>0</v>
      </c>
      <c r="F196" s="40">
        <v>0</v>
      </c>
      <c r="G196" s="40">
        <v>0</v>
      </c>
      <c r="H196" s="40">
        <v>0</v>
      </c>
      <c r="I196" s="40">
        <v>0</v>
      </c>
      <c r="J196" s="40">
        <v>0</v>
      </c>
      <c r="K196" s="40">
        <v>0</v>
      </c>
      <c r="L196" s="40">
        <v>0</v>
      </c>
      <c r="M196" s="40">
        <v>0</v>
      </c>
      <c r="N196" s="40">
        <v>0</v>
      </c>
      <c r="O196" s="40">
        <v>0</v>
      </c>
      <c r="P196" s="40">
        <v>0</v>
      </c>
      <c r="Q196" s="40">
        <v>0</v>
      </c>
    </row>
    <row r="197" spans="1:17">
      <c r="A197" s="101">
        <v>184</v>
      </c>
      <c r="B197" s="297" t="s">
        <v>511</v>
      </c>
      <c r="C197" s="40">
        <v>0</v>
      </c>
      <c r="D197" s="40">
        <v>0</v>
      </c>
      <c r="E197" s="40">
        <v>0</v>
      </c>
      <c r="F197" s="40">
        <v>0</v>
      </c>
      <c r="G197" s="40">
        <v>0</v>
      </c>
      <c r="H197" s="40">
        <v>0</v>
      </c>
      <c r="I197" s="40">
        <v>0</v>
      </c>
      <c r="J197" s="40">
        <v>0</v>
      </c>
      <c r="K197" s="40">
        <v>0</v>
      </c>
      <c r="L197" s="40">
        <v>0</v>
      </c>
      <c r="M197" s="40">
        <v>0</v>
      </c>
      <c r="N197" s="40">
        <v>0</v>
      </c>
      <c r="O197" s="40">
        <v>0</v>
      </c>
      <c r="P197" s="40">
        <v>0</v>
      </c>
      <c r="Q197" s="40">
        <v>0</v>
      </c>
    </row>
    <row r="198" spans="1:17">
      <c r="A198" s="101">
        <v>185</v>
      </c>
      <c r="B198" s="297" t="s">
        <v>512</v>
      </c>
      <c r="C198" s="40">
        <v>0</v>
      </c>
      <c r="D198" s="40">
        <v>0</v>
      </c>
      <c r="E198" s="40">
        <v>0</v>
      </c>
      <c r="F198" s="40">
        <v>0</v>
      </c>
      <c r="G198" s="40">
        <v>0</v>
      </c>
      <c r="H198" s="40">
        <v>0</v>
      </c>
      <c r="I198" s="40">
        <v>0</v>
      </c>
      <c r="J198" s="40">
        <v>0</v>
      </c>
      <c r="K198" s="40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</row>
    <row r="199" spans="1:17">
      <c r="A199" s="101">
        <v>186</v>
      </c>
      <c r="B199" s="297" t="s">
        <v>513</v>
      </c>
      <c r="C199" s="40">
        <v>0</v>
      </c>
      <c r="D199" s="40">
        <v>0</v>
      </c>
      <c r="E199" s="40">
        <v>0</v>
      </c>
      <c r="F199" s="40">
        <v>0</v>
      </c>
      <c r="G199" s="40">
        <v>0</v>
      </c>
      <c r="H199" s="40">
        <v>0</v>
      </c>
      <c r="I199" s="40">
        <v>0</v>
      </c>
      <c r="J199" s="40">
        <v>0</v>
      </c>
      <c r="K199" s="40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</row>
    <row r="200" spans="1:17">
      <c r="A200" s="294">
        <v>187</v>
      </c>
      <c r="B200" s="297" t="s">
        <v>514</v>
      </c>
      <c r="C200" s="40">
        <v>0</v>
      </c>
      <c r="D200" s="40">
        <v>0</v>
      </c>
      <c r="E200" s="40">
        <v>0</v>
      </c>
      <c r="F200" s="40">
        <v>0</v>
      </c>
      <c r="G200" s="40">
        <v>0</v>
      </c>
      <c r="H200" s="40">
        <v>0</v>
      </c>
      <c r="I200" s="40">
        <v>0</v>
      </c>
      <c r="J200" s="40">
        <v>0</v>
      </c>
      <c r="K200" s="40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</row>
    <row r="201" spans="1:17">
      <c r="A201" s="101">
        <v>188</v>
      </c>
      <c r="B201" s="296" t="s">
        <v>515</v>
      </c>
      <c r="C201" s="222">
        <f>SUM(C202:C209)</f>
        <v>0</v>
      </c>
      <c r="D201" s="222">
        <f t="shared" ref="D201:Q201" si="24">SUM(D202:D209)</f>
        <v>0</v>
      </c>
      <c r="E201" s="222">
        <f t="shared" si="24"/>
        <v>0</v>
      </c>
      <c r="F201" s="222">
        <f t="shared" si="24"/>
        <v>0</v>
      </c>
      <c r="G201" s="222">
        <f t="shared" si="24"/>
        <v>0</v>
      </c>
      <c r="H201" s="222">
        <f t="shared" si="24"/>
        <v>0</v>
      </c>
      <c r="I201" s="222">
        <f t="shared" si="24"/>
        <v>0</v>
      </c>
      <c r="J201" s="222">
        <f t="shared" si="24"/>
        <v>0</v>
      </c>
      <c r="K201" s="222">
        <f t="shared" si="24"/>
        <v>0</v>
      </c>
      <c r="L201" s="222">
        <f t="shared" si="24"/>
        <v>0</v>
      </c>
      <c r="M201" s="222">
        <f t="shared" si="24"/>
        <v>0</v>
      </c>
      <c r="N201" s="222">
        <f t="shared" si="24"/>
        <v>0</v>
      </c>
      <c r="O201" s="222">
        <f t="shared" si="24"/>
        <v>0</v>
      </c>
      <c r="P201" s="222">
        <f t="shared" si="24"/>
        <v>0</v>
      </c>
      <c r="Q201" s="222">
        <f t="shared" si="24"/>
        <v>0</v>
      </c>
    </row>
    <row r="202" spans="1:17">
      <c r="A202" s="101">
        <v>189</v>
      </c>
      <c r="B202" s="297" t="s">
        <v>516</v>
      </c>
      <c r="C202" s="40">
        <v>0</v>
      </c>
      <c r="D202" s="40">
        <v>0</v>
      </c>
      <c r="E202" s="40">
        <v>0</v>
      </c>
      <c r="F202" s="40">
        <v>0</v>
      </c>
      <c r="G202" s="40">
        <v>0</v>
      </c>
      <c r="H202" s="40">
        <v>0</v>
      </c>
      <c r="I202" s="40">
        <v>0</v>
      </c>
      <c r="J202" s="40">
        <v>0</v>
      </c>
      <c r="K202" s="40">
        <v>0</v>
      </c>
      <c r="L202" s="40">
        <v>0</v>
      </c>
      <c r="M202" s="40">
        <v>0</v>
      </c>
      <c r="N202" s="40">
        <v>0</v>
      </c>
      <c r="O202" s="40">
        <v>0</v>
      </c>
      <c r="P202" s="40">
        <v>0</v>
      </c>
      <c r="Q202" s="40">
        <v>0</v>
      </c>
    </row>
    <row r="203" spans="1:17">
      <c r="A203" s="101">
        <v>190</v>
      </c>
      <c r="B203" s="297" t="s">
        <v>517</v>
      </c>
      <c r="C203" s="40">
        <v>0</v>
      </c>
      <c r="D203" s="40">
        <v>0</v>
      </c>
      <c r="E203" s="40">
        <v>0</v>
      </c>
      <c r="F203" s="40">
        <v>0</v>
      </c>
      <c r="G203" s="40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0</v>
      </c>
      <c r="P203" s="40">
        <v>0</v>
      </c>
      <c r="Q203" s="40">
        <v>0</v>
      </c>
    </row>
    <row r="204" spans="1:17">
      <c r="A204" s="101">
        <v>191</v>
      </c>
      <c r="B204" s="297" t="s">
        <v>518</v>
      </c>
      <c r="C204" s="40">
        <v>0</v>
      </c>
      <c r="D204" s="40">
        <v>0</v>
      </c>
      <c r="E204" s="40">
        <v>0</v>
      </c>
      <c r="F204" s="40">
        <v>0</v>
      </c>
      <c r="G204" s="40">
        <v>0</v>
      </c>
      <c r="H204" s="40">
        <v>0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0</v>
      </c>
      <c r="P204" s="40">
        <v>0</v>
      </c>
      <c r="Q204" s="40">
        <v>0</v>
      </c>
    </row>
    <row r="205" spans="1:17">
      <c r="A205" s="101">
        <v>192</v>
      </c>
      <c r="B205" s="297" t="s">
        <v>519</v>
      </c>
      <c r="C205" s="40">
        <v>0</v>
      </c>
      <c r="D205" s="40">
        <v>0</v>
      </c>
      <c r="E205" s="40">
        <v>0</v>
      </c>
      <c r="F205" s="40">
        <v>0</v>
      </c>
      <c r="G205" s="40">
        <v>0</v>
      </c>
      <c r="H205" s="40">
        <v>0</v>
      </c>
      <c r="I205" s="40">
        <v>0</v>
      </c>
      <c r="J205" s="40">
        <v>0</v>
      </c>
      <c r="K205" s="40">
        <v>0</v>
      </c>
      <c r="L205" s="40">
        <v>0</v>
      </c>
      <c r="M205" s="40">
        <v>0</v>
      </c>
      <c r="N205" s="40">
        <v>0</v>
      </c>
      <c r="O205" s="40">
        <v>0</v>
      </c>
      <c r="P205" s="40">
        <v>0</v>
      </c>
      <c r="Q205" s="40">
        <v>0</v>
      </c>
    </row>
    <row r="206" spans="1:17">
      <c r="A206" s="294">
        <v>193</v>
      </c>
      <c r="B206" s="297" t="s">
        <v>520</v>
      </c>
      <c r="C206" s="40">
        <v>0</v>
      </c>
      <c r="D206" s="40">
        <v>0</v>
      </c>
      <c r="E206" s="40">
        <v>0</v>
      </c>
      <c r="F206" s="40">
        <v>0</v>
      </c>
      <c r="G206" s="40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0</v>
      </c>
      <c r="P206" s="40">
        <v>0</v>
      </c>
      <c r="Q206" s="40">
        <v>0</v>
      </c>
    </row>
    <row r="207" spans="1:17">
      <c r="A207" s="101">
        <v>194</v>
      </c>
      <c r="B207" s="297" t="s">
        <v>521</v>
      </c>
      <c r="C207" s="40">
        <v>0</v>
      </c>
      <c r="D207" s="40">
        <v>0</v>
      </c>
      <c r="E207" s="40">
        <v>0</v>
      </c>
      <c r="F207" s="40">
        <v>0</v>
      </c>
      <c r="G207" s="40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0</v>
      </c>
      <c r="P207" s="40">
        <v>0</v>
      </c>
      <c r="Q207" s="40">
        <v>0</v>
      </c>
    </row>
    <row r="208" spans="1:17">
      <c r="A208" s="101">
        <v>195</v>
      </c>
      <c r="B208" s="297" t="s">
        <v>522</v>
      </c>
      <c r="C208" s="40">
        <v>0</v>
      </c>
      <c r="D208" s="40">
        <v>0</v>
      </c>
      <c r="E208" s="40">
        <v>0</v>
      </c>
      <c r="F208" s="40">
        <v>0</v>
      </c>
      <c r="G208" s="40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0</v>
      </c>
      <c r="P208" s="40">
        <v>0</v>
      </c>
      <c r="Q208" s="40">
        <v>0</v>
      </c>
    </row>
    <row r="209" spans="1:17">
      <c r="A209" s="101">
        <v>196</v>
      </c>
      <c r="B209" s="297" t="s">
        <v>523</v>
      </c>
      <c r="C209" s="40">
        <v>0</v>
      </c>
      <c r="D209" s="40">
        <v>0</v>
      </c>
      <c r="E209" s="40">
        <v>0</v>
      </c>
      <c r="F209" s="40">
        <v>0</v>
      </c>
      <c r="G209" s="40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</row>
    <row r="210" spans="1:17">
      <c r="A210" s="101">
        <v>197</v>
      </c>
      <c r="B210" s="296" t="s">
        <v>524</v>
      </c>
      <c r="C210" s="222">
        <f t="shared" ref="C210:Q210" si="25">SUM(C211:C222)</f>
        <v>0</v>
      </c>
      <c r="D210" s="222">
        <f t="shared" si="25"/>
        <v>0</v>
      </c>
      <c r="E210" s="222">
        <f t="shared" si="25"/>
        <v>0</v>
      </c>
      <c r="F210" s="222">
        <f t="shared" si="25"/>
        <v>0</v>
      </c>
      <c r="G210" s="222">
        <f t="shared" si="25"/>
        <v>0</v>
      </c>
      <c r="H210" s="222">
        <f t="shared" si="25"/>
        <v>0</v>
      </c>
      <c r="I210" s="222">
        <f t="shared" si="25"/>
        <v>0</v>
      </c>
      <c r="J210" s="222">
        <f t="shared" si="25"/>
        <v>0</v>
      </c>
      <c r="K210" s="222">
        <f t="shared" si="25"/>
        <v>0</v>
      </c>
      <c r="L210" s="222">
        <f t="shared" si="25"/>
        <v>0</v>
      </c>
      <c r="M210" s="222">
        <f t="shared" si="25"/>
        <v>0</v>
      </c>
      <c r="N210" s="222">
        <f t="shared" si="25"/>
        <v>0</v>
      </c>
      <c r="O210" s="222">
        <f t="shared" si="25"/>
        <v>0</v>
      </c>
      <c r="P210" s="222">
        <f t="shared" si="25"/>
        <v>0</v>
      </c>
      <c r="Q210" s="222">
        <f t="shared" si="25"/>
        <v>0</v>
      </c>
    </row>
    <row r="211" spans="1:17">
      <c r="A211" s="101">
        <v>198</v>
      </c>
      <c r="B211" s="297" t="s">
        <v>525</v>
      </c>
      <c r="C211" s="40">
        <v>0</v>
      </c>
      <c r="D211" s="40">
        <v>0</v>
      </c>
      <c r="E211" s="40">
        <v>0</v>
      </c>
      <c r="F211" s="40">
        <v>0</v>
      </c>
      <c r="G211" s="40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</row>
    <row r="212" spans="1:17">
      <c r="A212" s="294">
        <v>199</v>
      </c>
      <c r="B212" s="297" t="s">
        <v>526</v>
      </c>
      <c r="C212" s="40">
        <v>0</v>
      </c>
      <c r="D212" s="40">
        <v>0</v>
      </c>
      <c r="E212" s="40">
        <v>0</v>
      </c>
      <c r="F212" s="40">
        <v>0</v>
      </c>
      <c r="G212" s="40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</row>
    <row r="213" spans="1:17">
      <c r="A213" s="101">
        <v>200</v>
      </c>
      <c r="B213" s="297" t="s">
        <v>527</v>
      </c>
      <c r="C213" s="40">
        <v>0</v>
      </c>
      <c r="D213" s="40">
        <v>0</v>
      </c>
      <c r="E213" s="40">
        <v>0</v>
      </c>
      <c r="F213" s="40">
        <v>0</v>
      </c>
      <c r="G213" s="40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</row>
    <row r="214" spans="1:17">
      <c r="A214" s="101">
        <v>201</v>
      </c>
      <c r="B214" s="297" t="s">
        <v>528</v>
      </c>
      <c r="C214" s="40">
        <v>0</v>
      </c>
      <c r="D214" s="40">
        <v>0</v>
      </c>
      <c r="E214" s="40">
        <v>0</v>
      </c>
      <c r="F214" s="40">
        <v>0</v>
      </c>
      <c r="G214" s="40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</row>
    <row r="215" spans="1:17">
      <c r="A215" s="101">
        <v>202</v>
      </c>
      <c r="B215" s="297" t="s">
        <v>529</v>
      </c>
      <c r="C215" s="40">
        <v>0</v>
      </c>
      <c r="D215" s="40">
        <v>0</v>
      </c>
      <c r="E215" s="40">
        <v>0</v>
      </c>
      <c r="F215" s="40">
        <v>0</v>
      </c>
      <c r="G215" s="40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</row>
    <row r="216" spans="1:17">
      <c r="A216" s="101">
        <v>203</v>
      </c>
      <c r="B216" s="297" t="s">
        <v>530</v>
      </c>
      <c r="C216" s="40">
        <v>0</v>
      </c>
      <c r="D216" s="40">
        <v>0</v>
      </c>
      <c r="E216" s="40">
        <v>0</v>
      </c>
      <c r="F216" s="40">
        <v>0</v>
      </c>
      <c r="G216" s="40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</row>
    <row r="217" spans="1:17">
      <c r="A217" s="101">
        <v>204</v>
      </c>
      <c r="B217" s="297" t="s">
        <v>531</v>
      </c>
      <c r="C217" s="40">
        <v>0</v>
      </c>
      <c r="D217" s="40">
        <v>0</v>
      </c>
      <c r="E217" s="40">
        <v>0</v>
      </c>
      <c r="F217" s="40">
        <v>0</v>
      </c>
      <c r="G217" s="40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</row>
    <row r="218" spans="1:17">
      <c r="A218" s="294">
        <v>205</v>
      </c>
      <c r="B218" s="297" t="s">
        <v>408</v>
      </c>
      <c r="C218" s="40">
        <v>0</v>
      </c>
      <c r="D218" s="40">
        <v>0</v>
      </c>
      <c r="E218" s="40">
        <v>0</v>
      </c>
      <c r="F218" s="40">
        <v>0</v>
      </c>
      <c r="G218" s="40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</row>
    <row r="219" spans="1:17">
      <c r="A219" s="101">
        <v>206</v>
      </c>
      <c r="B219" s="297" t="s">
        <v>532</v>
      </c>
      <c r="C219" s="40">
        <v>0</v>
      </c>
      <c r="D219" s="40">
        <v>0</v>
      </c>
      <c r="E219" s="40">
        <v>0</v>
      </c>
      <c r="F219" s="40">
        <v>0</v>
      </c>
      <c r="G219" s="40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</row>
    <row r="220" spans="1:17">
      <c r="A220" s="101">
        <v>207</v>
      </c>
      <c r="B220" s="297" t="s">
        <v>533</v>
      </c>
      <c r="C220" s="40">
        <v>0</v>
      </c>
      <c r="D220" s="40">
        <v>0</v>
      </c>
      <c r="E220" s="40">
        <v>0</v>
      </c>
      <c r="F220" s="40">
        <v>0</v>
      </c>
      <c r="G220" s="40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</row>
    <row r="221" spans="1:17">
      <c r="A221" s="101">
        <v>208</v>
      </c>
      <c r="B221" s="297" t="s">
        <v>534</v>
      </c>
      <c r="C221" s="40">
        <v>0</v>
      </c>
      <c r="D221" s="40">
        <v>0</v>
      </c>
      <c r="E221" s="40">
        <v>0</v>
      </c>
      <c r="F221" s="40">
        <v>0</v>
      </c>
      <c r="G221" s="40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</row>
    <row r="222" spans="1:17">
      <c r="A222" s="101">
        <v>209</v>
      </c>
      <c r="B222" s="297" t="s">
        <v>535</v>
      </c>
      <c r="C222" s="40">
        <v>0</v>
      </c>
      <c r="D222" s="40">
        <v>0</v>
      </c>
      <c r="E222" s="40">
        <v>0</v>
      </c>
      <c r="F222" s="40">
        <v>0</v>
      </c>
      <c r="G222" s="40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</row>
    <row r="223" spans="1:17">
      <c r="A223" s="101">
        <v>210</v>
      </c>
      <c r="B223" s="300" t="s">
        <v>536</v>
      </c>
      <c r="C223" s="5">
        <f t="shared" ref="C223:Q223" si="26">C15+C23+C29+C38+C44+C50+C59+C65+C74+C82+C89+C97+C107+C115+C124+C134+C142+C149+C159+C164+C173+C180+C187+C195+C201+C210</f>
        <v>0</v>
      </c>
      <c r="D223" s="5">
        <f t="shared" si="26"/>
        <v>0</v>
      </c>
      <c r="E223" s="5">
        <f t="shared" si="26"/>
        <v>0</v>
      </c>
      <c r="F223" s="5">
        <f t="shared" si="26"/>
        <v>0</v>
      </c>
      <c r="G223" s="5">
        <f t="shared" si="26"/>
        <v>0</v>
      </c>
      <c r="H223" s="5">
        <f t="shared" si="26"/>
        <v>0</v>
      </c>
      <c r="I223" s="5">
        <f t="shared" si="26"/>
        <v>0</v>
      </c>
      <c r="J223" s="5">
        <f t="shared" si="26"/>
        <v>0</v>
      </c>
      <c r="K223" s="5">
        <f t="shared" si="26"/>
        <v>0</v>
      </c>
      <c r="L223" s="5">
        <f t="shared" si="26"/>
        <v>0</v>
      </c>
      <c r="M223" s="5">
        <f t="shared" si="26"/>
        <v>0</v>
      </c>
      <c r="N223" s="5">
        <f t="shared" si="26"/>
        <v>0</v>
      </c>
      <c r="O223" s="5">
        <f t="shared" si="26"/>
        <v>0</v>
      </c>
      <c r="P223" s="5">
        <f t="shared" si="26"/>
        <v>0</v>
      </c>
      <c r="Q223" s="5">
        <f t="shared" si="26"/>
        <v>0</v>
      </c>
    </row>
    <row r="224" spans="1:17">
      <c r="A224" s="101">
        <v>211</v>
      </c>
      <c r="B224" s="300" t="s">
        <v>537</v>
      </c>
      <c r="C224" s="301"/>
      <c r="D224" s="301"/>
      <c r="E224" s="301"/>
      <c r="F224" s="301"/>
      <c r="G224" s="301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</row>
    <row r="225" spans="1:17">
      <c r="A225" s="101">
        <v>212</v>
      </c>
      <c r="B225" s="300" t="s">
        <v>538</v>
      </c>
      <c r="C225" s="5">
        <f>SUM(C226:C227)</f>
        <v>0</v>
      </c>
      <c r="D225" s="5">
        <f t="shared" ref="D225:Q225" si="27">SUM(D226:D227)</f>
        <v>0</v>
      </c>
      <c r="E225" s="5">
        <f t="shared" si="27"/>
        <v>0</v>
      </c>
      <c r="F225" s="5">
        <f t="shared" si="27"/>
        <v>0</v>
      </c>
      <c r="G225" s="5">
        <f t="shared" si="27"/>
        <v>0</v>
      </c>
      <c r="H225" s="5">
        <f t="shared" si="27"/>
        <v>0</v>
      </c>
      <c r="I225" s="5">
        <f t="shared" si="27"/>
        <v>0</v>
      </c>
      <c r="J225" s="5">
        <f t="shared" si="27"/>
        <v>0</v>
      </c>
      <c r="K225" s="5">
        <f t="shared" si="27"/>
        <v>0</v>
      </c>
      <c r="L225" s="5">
        <f t="shared" si="27"/>
        <v>0</v>
      </c>
      <c r="M225" s="5">
        <f t="shared" si="27"/>
        <v>0</v>
      </c>
      <c r="N225" s="5">
        <f t="shared" si="27"/>
        <v>0</v>
      </c>
      <c r="O225" s="5">
        <f t="shared" si="27"/>
        <v>0</v>
      </c>
      <c r="P225" s="5">
        <f t="shared" si="27"/>
        <v>0</v>
      </c>
      <c r="Q225" s="5">
        <f t="shared" si="27"/>
        <v>0</v>
      </c>
    </row>
    <row r="226" spans="1:17">
      <c r="A226" s="101">
        <v>213</v>
      </c>
      <c r="B226" s="42" t="s">
        <v>539</v>
      </c>
      <c r="C226" s="40">
        <v>0</v>
      </c>
      <c r="D226" s="40">
        <v>0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</row>
    <row r="227" spans="1:17">
      <c r="A227" s="101">
        <v>214</v>
      </c>
      <c r="B227" s="42" t="s">
        <v>540</v>
      </c>
      <c r="C227" s="40">
        <v>0</v>
      </c>
      <c r="D227" s="40">
        <v>0</v>
      </c>
      <c r="E227" s="40">
        <v>0</v>
      </c>
      <c r="F227" s="40">
        <v>0</v>
      </c>
      <c r="G227" s="40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</row>
    <row r="228" spans="1:17">
      <c r="A228" s="101">
        <v>215</v>
      </c>
      <c r="B228" s="300" t="s">
        <v>541</v>
      </c>
      <c r="C228" s="5">
        <f>SUM(C229:C230)</f>
        <v>0</v>
      </c>
      <c r="D228" s="5">
        <f t="shared" ref="D228:Q228" si="28">SUM(D229:D230)</f>
        <v>0</v>
      </c>
      <c r="E228" s="5">
        <f t="shared" si="28"/>
        <v>0</v>
      </c>
      <c r="F228" s="5">
        <f t="shared" si="28"/>
        <v>0</v>
      </c>
      <c r="G228" s="5">
        <f t="shared" si="28"/>
        <v>0</v>
      </c>
      <c r="H228" s="5">
        <f t="shared" si="28"/>
        <v>0</v>
      </c>
      <c r="I228" s="5">
        <f t="shared" si="28"/>
        <v>0</v>
      </c>
      <c r="J228" s="5">
        <f t="shared" si="28"/>
        <v>0</v>
      </c>
      <c r="K228" s="5">
        <f t="shared" si="28"/>
        <v>0</v>
      </c>
      <c r="L228" s="5">
        <f t="shared" si="28"/>
        <v>0</v>
      </c>
      <c r="M228" s="5">
        <f t="shared" si="28"/>
        <v>0</v>
      </c>
      <c r="N228" s="5">
        <f t="shared" si="28"/>
        <v>0</v>
      </c>
      <c r="O228" s="5">
        <f t="shared" si="28"/>
        <v>0</v>
      </c>
      <c r="P228" s="5">
        <f t="shared" si="28"/>
        <v>0</v>
      </c>
      <c r="Q228" s="5">
        <f t="shared" si="28"/>
        <v>0</v>
      </c>
    </row>
    <row r="229" spans="1:17">
      <c r="A229" s="101">
        <v>216</v>
      </c>
      <c r="B229" s="42" t="s">
        <v>542</v>
      </c>
      <c r="C229" s="40">
        <v>0</v>
      </c>
      <c r="D229" s="40">
        <v>0</v>
      </c>
      <c r="E229" s="40">
        <v>0</v>
      </c>
      <c r="F229" s="40">
        <v>0</v>
      </c>
      <c r="G229" s="40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</row>
    <row r="230" spans="1:17">
      <c r="A230" s="101">
        <v>217</v>
      </c>
      <c r="B230" s="42" t="s">
        <v>543</v>
      </c>
      <c r="C230" s="40">
        <v>0</v>
      </c>
      <c r="D230" s="40">
        <v>0</v>
      </c>
      <c r="E230" s="40">
        <v>0</v>
      </c>
      <c r="F230" s="40">
        <v>0</v>
      </c>
      <c r="G230" s="40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</row>
    <row r="231" spans="1:17">
      <c r="A231" s="101">
        <v>218</v>
      </c>
      <c r="B231" s="300" t="s">
        <v>544</v>
      </c>
      <c r="C231" s="5">
        <f>SUM(C232:C234)</f>
        <v>0</v>
      </c>
      <c r="D231" s="5">
        <f t="shared" ref="D231:Q231" si="29">SUM(D232:D234)</f>
        <v>0</v>
      </c>
      <c r="E231" s="5">
        <f t="shared" si="29"/>
        <v>0</v>
      </c>
      <c r="F231" s="5">
        <f t="shared" si="29"/>
        <v>0</v>
      </c>
      <c r="G231" s="5">
        <f t="shared" si="29"/>
        <v>0</v>
      </c>
      <c r="H231" s="5">
        <f t="shared" si="29"/>
        <v>0</v>
      </c>
      <c r="I231" s="5">
        <f t="shared" si="29"/>
        <v>0</v>
      </c>
      <c r="J231" s="5">
        <f t="shared" si="29"/>
        <v>0</v>
      </c>
      <c r="K231" s="5">
        <f t="shared" si="29"/>
        <v>0</v>
      </c>
      <c r="L231" s="5">
        <f t="shared" si="29"/>
        <v>0</v>
      </c>
      <c r="M231" s="5">
        <f t="shared" si="29"/>
        <v>0</v>
      </c>
      <c r="N231" s="5">
        <f t="shared" si="29"/>
        <v>0</v>
      </c>
      <c r="O231" s="5">
        <f t="shared" si="29"/>
        <v>0</v>
      </c>
      <c r="P231" s="5">
        <f t="shared" si="29"/>
        <v>0</v>
      </c>
      <c r="Q231" s="5">
        <f t="shared" si="29"/>
        <v>0</v>
      </c>
    </row>
    <row r="232" spans="1:17">
      <c r="A232" s="101">
        <v>219</v>
      </c>
      <c r="B232" s="42" t="s">
        <v>545</v>
      </c>
      <c r="C232" s="40">
        <v>0</v>
      </c>
      <c r="D232" s="40">
        <v>0</v>
      </c>
      <c r="E232" s="40">
        <v>0</v>
      </c>
      <c r="F232" s="40">
        <v>0</v>
      </c>
      <c r="G232" s="40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</row>
    <row r="233" spans="1:17">
      <c r="A233" s="101">
        <v>220</v>
      </c>
      <c r="B233" s="42" t="s">
        <v>546</v>
      </c>
      <c r="C233" s="40">
        <v>0</v>
      </c>
      <c r="D233" s="40">
        <v>0</v>
      </c>
      <c r="E233" s="40">
        <v>0</v>
      </c>
      <c r="F233" s="40">
        <v>0</v>
      </c>
      <c r="G233" s="40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</row>
    <row r="234" spans="1:17">
      <c r="A234" s="101">
        <v>221</v>
      </c>
      <c r="B234" s="42" t="s">
        <v>547</v>
      </c>
      <c r="C234" s="40">
        <v>0</v>
      </c>
      <c r="D234" s="40">
        <v>0</v>
      </c>
      <c r="E234" s="40">
        <v>0</v>
      </c>
      <c r="F234" s="40">
        <v>0</v>
      </c>
      <c r="G234" s="40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</row>
    <row r="235" spans="1:17">
      <c r="A235" s="101">
        <v>222</v>
      </c>
      <c r="B235" s="300" t="s">
        <v>548</v>
      </c>
      <c r="C235" s="5">
        <f>SUM(C236:C237)</f>
        <v>0</v>
      </c>
      <c r="D235" s="5">
        <f t="shared" ref="D235:Q235" si="30">SUM(D236:D237)</f>
        <v>0</v>
      </c>
      <c r="E235" s="5">
        <f t="shared" si="30"/>
        <v>0</v>
      </c>
      <c r="F235" s="5">
        <f t="shared" si="30"/>
        <v>0</v>
      </c>
      <c r="G235" s="5">
        <f t="shared" si="30"/>
        <v>0</v>
      </c>
      <c r="H235" s="5">
        <f t="shared" si="30"/>
        <v>0</v>
      </c>
      <c r="I235" s="5">
        <f t="shared" si="30"/>
        <v>0</v>
      </c>
      <c r="J235" s="5">
        <f t="shared" si="30"/>
        <v>0</v>
      </c>
      <c r="K235" s="5">
        <f t="shared" si="30"/>
        <v>0</v>
      </c>
      <c r="L235" s="5">
        <f t="shared" si="30"/>
        <v>0</v>
      </c>
      <c r="M235" s="5">
        <f t="shared" si="30"/>
        <v>0</v>
      </c>
      <c r="N235" s="5">
        <f t="shared" si="30"/>
        <v>0</v>
      </c>
      <c r="O235" s="5">
        <f t="shared" si="30"/>
        <v>0</v>
      </c>
      <c r="P235" s="5">
        <f t="shared" si="30"/>
        <v>0</v>
      </c>
      <c r="Q235" s="5">
        <f t="shared" si="30"/>
        <v>0</v>
      </c>
    </row>
    <row r="236" spans="1:17">
      <c r="A236" s="101">
        <v>223</v>
      </c>
      <c r="B236" s="42" t="s">
        <v>549</v>
      </c>
      <c r="C236" s="40">
        <v>0</v>
      </c>
      <c r="D236" s="40">
        <v>0</v>
      </c>
      <c r="E236" s="40">
        <v>0</v>
      </c>
      <c r="F236" s="40">
        <v>0</v>
      </c>
      <c r="G236" s="40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</row>
    <row r="237" spans="1:17">
      <c r="A237" s="101">
        <v>224</v>
      </c>
      <c r="B237" s="42" t="s">
        <v>550</v>
      </c>
      <c r="C237" s="40">
        <v>0</v>
      </c>
      <c r="D237" s="40">
        <v>0</v>
      </c>
      <c r="E237" s="40">
        <v>0</v>
      </c>
      <c r="F237" s="40">
        <v>0</v>
      </c>
      <c r="G237" s="40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</row>
    <row r="238" spans="1:17">
      <c r="A238" s="101">
        <v>225</v>
      </c>
      <c r="B238" s="300" t="s">
        <v>551</v>
      </c>
      <c r="C238" s="5">
        <f>SUM(C239:C240)</f>
        <v>0</v>
      </c>
      <c r="D238" s="5">
        <f t="shared" ref="D238:Q238" si="31">SUM(D239:D240)</f>
        <v>0</v>
      </c>
      <c r="E238" s="5">
        <f t="shared" si="31"/>
        <v>0</v>
      </c>
      <c r="F238" s="5">
        <f t="shared" si="31"/>
        <v>0</v>
      </c>
      <c r="G238" s="5">
        <f t="shared" si="31"/>
        <v>0</v>
      </c>
      <c r="H238" s="5">
        <f t="shared" si="31"/>
        <v>0</v>
      </c>
      <c r="I238" s="5">
        <f t="shared" si="31"/>
        <v>0</v>
      </c>
      <c r="J238" s="5">
        <f t="shared" si="31"/>
        <v>0</v>
      </c>
      <c r="K238" s="5">
        <f t="shared" si="31"/>
        <v>0</v>
      </c>
      <c r="L238" s="5">
        <f t="shared" si="31"/>
        <v>0</v>
      </c>
      <c r="M238" s="5">
        <f t="shared" si="31"/>
        <v>0</v>
      </c>
      <c r="N238" s="5">
        <f t="shared" si="31"/>
        <v>0</v>
      </c>
      <c r="O238" s="5">
        <f t="shared" si="31"/>
        <v>0</v>
      </c>
      <c r="P238" s="5">
        <f t="shared" si="31"/>
        <v>0</v>
      </c>
      <c r="Q238" s="5">
        <f t="shared" si="31"/>
        <v>0</v>
      </c>
    </row>
    <row r="239" spans="1:17">
      <c r="A239" s="101">
        <v>226</v>
      </c>
      <c r="B239" s="42" t="s">
        <v>552</v>
      </c>
      <c r="C239" s="40">
        <v>0</v>
      </c>
      <c r="D239" s="40">
        <v>0</v>
      </c>
      <c r="E239" s="40">
        <v>0</v>
      </c>
      <c r="F239" s="40">
        <v>0</v>
      </c>
      <c r="G239" s="40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</row>
    <row r="240" spans="1:17">
      <c r="A240" s="101">
        <v>227</v>
      </c>
      <c r="B240" s="42" t="s">
        <v>553</v>
      </c>
      <c r="C240" s="40">
        <v>0</v>
      </c>
      <c r="D240" s="40">
        <v>0</v>
      </c>
      <c r="E240" s="40">
        <v>0</v>
      </c>
      <c r="F240" s="40">
        <v>0</v>
      </c>
      <c r="G240" s="40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</row>
    <row r="241" spans="1:17">
      <c r="A241" s="101">
        <v>228</v>
      </c>
      <c r="B241" s="300" t="s">
        <v>554</v>
      </c>
      <c r="C241" s="5">
        <f>C225+C228+C231+C235+C238</f>
        <v>0</v>
      </c>
      <c r="D241" s="5">
        <f t="shared" ref="D241:Q241" si="32">D225+D228+D231+D235+D238</f>
        <v>0</v>
      </c>
      <c r="E241" s="5">
        <f t="shared" si="32"/>
        <v>0</v>
      </c>
      <c r="F241" s="5">
        <f t="shared" si="32"/>
        <v>0</v>
      </c>
      <c r="G241" s="5">
        <f t="shared" si="32"/>
        <v>0</v>
      </c>
      <c r="H241" s="5">
        <f t="shared" si="32"/>
        <v>0</v>
      </c>
      <c r="I241" s="5">
        <f t="shared" si="32"/>
        <v>0</v>
      </c>
      <c r="J241" s="5">
        <f t="shared" si="32"/>
        <v>0</v>
      </c>
      <c r="K241" s="5">
        <f t="shared" si="32"/>
        <v>0</v>
      </c>
      <c r="L241" s="5">
        <f t="shared" si="32"/>
        <v>0</v>
      </c>
      <c r="M241" s="5">
        <f t="shared" si="32"/>
        <v>0</v>
      </c>
      <c r="N241" s="5">
        <f t="shared" si="32"/>
        <v>0</v>
      </c>
      <c r="O241" s="5">
        <f t="shared" si="32"/>
        <v>0</v>
      </c>
      <c r="P241" s="5">
        <f t="shared" si="32"/>
        <v>0</v>
      </c>
      <c r="Q241" s="5">
        <f t="shared" si="32"/>
        <v>0</v>
      </c>
    </row>
    <row r="242" spans="1:17">
      <c r="A242" s="101">
        <v>229</v>
      </c>
      <c r="B242" s="45" t="s">
        <v>555</v>
      </c>
      <c r="C242" s="222">
        <f>C223+C241</f>
        <v>0</v>
      </c>
      <c r="D242" s="222">
        <f t="shared" ref="D242:L242" si="33">D223+D241</f>
        <v>0</v>
      </c>
      <c r="E242" s="222">
        <f t="shared" si="33"/>
        <v>0</v>
      </c>
      <c r="F242" s="222">
        <f t="shared" si="33"/>
        <v>0</v>
      </c>
      <c r="G242" s="222">
        <f t="shared" si="33"/>
        <v>0</v>
      </c>
      <c r="H242" s="222">
        <f t="shared" si="33"/>
        <v>0</v>
      </c>
      <c r="I242" s="222">
        <f t="shared" si="33"/>
        <v>0</v>
      </c>
      <c r="J242" s="222">
        <f t="shared" si="33"/>
        <v>0</v>
      </c>
      <c r="K242" s="222">
        <f t="shared" si="33"/>
        <v>0</v>
      </c>
      <c r="L242" s="222">
        <f t="shared" si="33"/>
        <v>0</v>
      </c>
      <c r="M242" s="222">
        <f>M223+M241</f>
        <v>0</v>
      </c>
      <c r="N242" s="222">
        <f>N223+N241</f>
        <v>0</v>
      </c>
      <c r="O242" s="222">
        <f>O223+O241</f>
        <v>0</v>
      </c>
      <c r="P242" s="222">
        <f>P223+P241</f>
        <v>0</v>
      </c>
      <c r="Q242" s="222">
        <f>Q223+Q241</f>
        <v>0</v>
      </c>
    </row>
    <row r="243" spans="1:17" ht="15" customHeight="1">
      <c r="A243" s="101"/>
      <c r="B243" s="74"/>
      <c r="C243" s="302"/>
      <c r="D243" s="303"/>
      <c r="E243" s="303" t="s">
        <v>556</v>
      </c>
      <c r="F243" s="304"/>
      <c r="G243" s="304"/>
      <c r="H243" s="304"/>
      <c r="I243" s="304"/>
      <c r="J243" s="304"/>
      <c r="K243" s="304"/>
      <c r="L243" s="304"/>
      <c r="M243" s="304"/>
      <c r="N243" s="305"/>
      <c r="O243" s="305"/>
      <c r="P243" s="304"/>
      <c r="Q243" s="306"/>
    </row>
    <row r="245" spans="1:17">
      <c r="B245" s="183" t="s">
        <v>557</v>
      </c>
    </row>
    <row r="247" spans="1:17">
      <c r="B247" s="54" t="s">
        <v>558</v>
      </c>
    </row>
    <row r="248" spans="1:17">
      <c r="B248" s="54" t="s">
        <v>559</v>
      </c>
    </row>
    <row r="249" spans="1:17">
      <c r="B249" s="54" t="s">
        <v>560</v>
      </c>
    </row>
    <row r="250" spans="1:17">
      <c r="B250" s="54" t="s">
        <v>561</v>
      </c>
    </row>
    <row r="251" spans="1:17">
      <c r="B251" s="307"/>
    </row>
    <row r="252" spans="1:17">
      <c r="B252" s="308"/>
    </row>
  </sheetData>
  <mergeCells count="18">
    <mergeCell ref="J10:M10"/>
    <mergeCell ref="N10:Q10"/>
    <mergeCell ref="F11:G11"/>
    <mergeCell ref="H11:I11"/>
    <mergeCell ref="J11:K11"/>
    <mergeCell ref="L11:M11"/>
    <mergeCell ref="N11:O11"/>
    <mergeCell ref="P11:Q11"/>
    <mergeCell ref="G1:G5"/>
    <mergeCell ref="H2:K2"/>
    <mergeCell ref="I3:K9"/>
    <mergeCell ref="N9:O9"/>
    <mergeCell ref="A10:A12"/>
    <mergeCell ref="B10:B12"/>
    <mergeCell ref="C10:C12"/>
    <mergeCell ref="D10:D12"/>
    <mergeCell ref="E10:E12"/>
    <mergeCell ref="F10:I10"/>
  </mergeCells>
  <dataValidations count="1">
    <dataValidation type="decimal" allowBlank="1" showInputMessage="1" showErrorMessage="1" sqref="C15:Q242" xr:uid="{8479AEFC-0CE3-499F-9D4B-C740B27D8F5F}">
      <formula1>-999999999999</formula1>
      <formula2>999999999999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1745-0645-4B4B-A31E-2D5DE530E3C7}">
  <dimension ref="A1:G72"/>
  <sheetViews>
    <sheetView tabSelected="1" topLeftCell="A10" workbookViewId="0">
      <selection activeCell="D39" sqref="D39"/>
    </sheetView>
  </sheetViews>
  <sheetFormatPr defaultRowHeight="15"/>
  <cols>
    <col min="1" max="1" width="12" customWidth="1"/>
    <col min="2" max="2" width="51" customWidth="1"/>
    <col min="7" max="7" width="55" bestFit="1" customWidth="1"/>
  </cols>
  <sheetData>
    <row r="1" spans="1:7" ht="15.75">
      <c r="A1" s="309" t="s">
        <v>562</v>
      </c>
      <c r="B1" s="309"/>
      <c r="F1" s="309" t="s">
        <v>563</v>
      </c>
      <c r="G1" s="309"/>
    </row>
    <row r="2" spans="1:7">
      <c r="A2" s="310" t="s">
        <v>564</v>
      </c>
      <c r="B2" s="310" t="s">
        <v>565</v>
      </c>
      <c r="F2" s="310" t="s">
        <v>564</v>
      </c>
      <c r="G2" s="310" t="s">
        <v>565</v>
      </c>
    </row>
    <row r="3" spans="1:7">
      <c r="A3" s="311"/>
      <c r="B3" s="312" t="s">
        <v>566</v>
      </c>
      <c r="F3" s="311"/>
      <c r="G3" s="312" t="s">
        <v>566</v>
      </c>
    </row>
    <row r="4" spans="1:7">
      <c r="A4" s="311">
        <v>1</v>
      </c>
      <c r="B4" s="313" t="s">
        <v>266</v>
      </c>
      <c r="F4" s="311">
        <v>1</v>
      </c>
      <c r="G4" s="313" t="s">
        <v>266</v>
      </c>
    </row>
    <row r="5" spans="1:7">
      <c r="A5" s="311">
        <v>2</v>
      </c>
      <c r="B5" s="313" t="s">
        <v>298</v>
      </c>
      <c r="F5" s="311">
        <v>2</v>
      </c>
      <c r="G5" s="313" t="s">
        <v>298</v>
      </c>
    </row>
    <row r="6" spans="1:7">
      <c r="A6" s="311">
        <v>3</v>
      </c>
      <c r="B6" s="313" t="s">
        <v>567</v>
      </c>
      <c r="F6" s="311">
        <v>3</v>
      </c>
      <c r="G6" s="313" t="s">
        <v>567</v>
      </c>
    </row>
    <row r="7" spans="1:7">
      <c r="A7" s="311">
        <v>4</v>
      </c>
      <c r="B7" s="313" t="s">
        <v>568</v>
      </c>
      <c r="F7" s="311">
        <v>4</v>
      </c>
      <c r="G7" s="313" t="s">
        <v>568</v>
      </c>
    </row>
    <row r="8" spans="1:7">
      <c r="A8" s="311">
        <v>5</v>
      </c>
      <c r="B8" s="313" t="s">
        <v>569</v>
      </c>
      <c r="F8" s="311">
        <v>5</v>
      </c>
      <c r="G8" s="313" t="s">
        <v>570</v>
      </c>
    </row>
    <row r="9" spans="1:7">
      <c r="A9" s="311">
        <v>6</v>
      </c>
      <c r="B9" s="313" t="s">
        <v>570</v>
      </c>
      <c r="F9" s="311">
        <v>6</v>
      </c>
      <c r="G9" s="313" t="s">
        <v>571</v>
      </c>
    </row>
    <row r="10" spans="1:7">
      <c r="A10" s="311">
        <v>7</v>
      </c>
      <c r="B10" s="313" t="s">
        <v>571</v>
      </c>
      <c r="F10" s="311">
        <v>7</v>
      </c>
      <c r="G10" s="313" t="s">
        <v>572</v>
      </c>
    </row>
    <row r="11" spans="1:7">
      <c r="A11" s="311">
        <v>8</v>
      </c>
      <c r="B11" s="313" t="s">
        <v>572</v>
      </c>
      <c r="F11" s="311">
        <v>8</v>
      </c>
      <c r="G11" s="313" t="s">
        <v>573</v>
      </c>
    </row>
    <row r="12" spans="1:7">
      <c r="A12" s="311">
        <v>9</v>
      </c>
      <c r="B12" s="313" t="s">
        <v>573</v>
      </c>
      <c r="F12" s="311">
        <v>9</v>
      </c>
      <c r="G12" s="313" t="s">
        <v>271</v>
      </c>
    </row>
    <row r="13" spans="1:7">
      <c r="A13" s="311">
        <v>10</v>
      </c>
      <c r="B13" s="313" t="s">
        <v>574</v>
      </c>
      <c r="F13" s="311">
        <v>10</v>
      </c>
      <c r="G13" s="313" t="s">
        <v>575</v>
      </c>
    </row>
    <row r="14" spans="1:7">
      <c r="A14" s="311">
        <v>11</v>
      </c>
      <c r="B14" s="313" t="s">
        <v>271</v>
      </c>
      <c r="F14" s="311">
        <v>11</v>
      </c>
      <c r="G14" s="313" t="s">
        <v>576</v>
      </c>
    </row>
    <row r="15" spans="1:7">
      <c r="A15" s="311">
        <v>12</v>
      </c>
      <c r="B15" s="313" t="s">
        <v>575</v>
      </c>
      <c r="F15" s="311">
        <v>12</v>
      </c>
      <c r="G15" s="313" t="s">
        <v>577</v>
      </c>
    </row>
    <row r="16" spans="1:7">
      <c r="A16" s="311">
        <v>13</v>
      </c>
      <c r="B16" s="313" t="s">
        <v>576</v>
      </c>
      <c r="F16" s="311">
        <v>13</v>
      </c>
      <c r="G16" s="313" t="s">
        <v>578</v>
      </c>
    </row>
    <row r="17" spans="1:7">
      <c r="A17" s="311">
        <v>14</v>
      </c>
      <c r="B17" s="313" t="s">
        <v>577</v>
      </c>
      <c r="F17" s="311">
        <v>14</v>
      </c>
      <c r="G17" s="313" t="s">
        <v>579</v>
      </c>
    </row>
    <row r="18" spans="1:7">
      <c r="A18" s="311">
        <v>15</v>
      </c>
      <c r="B18" s="313" t="s">
        <v>578</v>
      </c>
      <c r="F18" s="311">
        <v>15</v>
      </c>
      <c r="G18" s="313" t="s">
        <v>580</v>
      </c>
    </row>
    <row r="19" spans="1:7">
      <c r="A19" s="311">
        <v>16</v>
      </c>
      <c r="B19" s="313" t="s">
        <v>579</v>
      </c>
      <c r="F19" s="311">
        <v>16</v>
      </c>
      <c r="G19" s="313" t="s">
        <v>581</v>
      </c>
    </row>
    <row r="20" spans="1:7">
      <c r="A20" s="311">
        <v>17</v>
      </c>
      <c r="B20" s="313" t="s">
        <v>580</v>
      </c>
      <c r="F20" s="311">
        <v>17</v>
      </c>
      <c r="G20" s="313" t="s">
        <v>582</v>
      </c>
    </row>
    <row r="21" spans="1:7">
      <c r="A21" s="311">
        <v>18</v>
      </c>
      <c r="B21" s="313" t="s">
        <v>581</v>
      </c>
      <c r="F21" s="311">
        <v>18</v>
      </c>
      <c r="G21" s="313" t="s">
        <v>270</v>
      </c>
    </row>
    <row r="22" spans="1:7">
      <c r="A22" s="311">
        <v>19</v>
      </c>
      <c r="B22" s="313" t="s">
        <v>582</v>
      </c>
      <c r="F22" s="311">
        <v>19</v>
      </c>
      <c r="G22" s="313" t="s">
        <v>583</v>
      </c>
    </row>
    <row r="23" spans="1:7">
      <c r="A23" s="311">
        <v>20</v>
      </c>
      <c r="B23" s="313" t="s">
        <v>270</v>
      </c>
      <c r="F23" s="311">
        <v>20</v>
      </c>
      <c r="G23" s="313" t="s">
        <v>584</v>
      </c>
    </row>
    <row r="24" spans="1:7">
      <c r="A24" s="311">
        <v>21</v>
      </c>
      <c r="B24" s="313" t="s">
        <v>583</v>
      </c>
      <c r="F24" s="311">
        <v>21</v>
      </c>
      <c r="G24" s="313" t="s">
        <v>585</v>
      </c>
    </row>
    <row r="25" spans="1:7">
      <c r="A25" s="311">
        <v>22</v>
      </c>
      <c r="B25" s="313" t="s">
        <v>584</v>
      </c>
      <c r="F25" s="311">
        <v>22</v>
      </c>
      <c r="G25" s="313" t="s">
        <v>586</v>
      </c>
    </row>
    <row r="26" spans="1:7">
      <c r="A26" s="311">
        <v>23</v>
      </c>
      <c r="B26" s="313" t="s">
        <v>585</v>
      </c>
      <c r="F26" s="311">
        <v>23</v>
      </c>
      <c r="G26" s="313" t="s">
        <v>587</v>
      </c>
    </row>
    <row r="27" spans="1:7">
      <c r="A27" s="311">
        <v>24</v>
      </c>
      <c r="B27" s="313" t="s">
        <v>586</v>
      </c>
      <c r="F27" s="311">
        <v>24</v>
      </c>
      <c r="G27" s="313" t="s">
        <v>588</v>
      </c>
    </row>
    <row r="28" spans="1:7">
      <c r="A28" s="311">
        <v>25</v>
      </c>
      <c r="B28" t="s">
        <v>589</v>
      </c>
      <c r="F28" s="311">
        <v>25</v>
      </c>
      <c r="G28" s="313" t="s">
        <v>590</v>
      </c>
    </row>
    <row r="29" spans="1:7">
      <c r="A29" s="311">
        <v>26</v>
      </c>
      <c r="B29" s="313" t="s">
        <v>587</v>
      </c>
      <c r="F29" s="311">
        <v>26</v>
      </c>
      <c r="G29" s="313" t="s">
        <v>591</v>
      </c>
    </row>
    <row r="30" spans="1:7">
      <c r="A30" s="311">
        <v>27</v>
      </c>
      <c r="B30" s="313" t="s">
        <v>588</v>
      </c>
      <c r="F30" s="311">
        <v>27</v>
      </c>
      <c r="G30" s="313" t="s">
        <v>592</v>
      </c>
    </row>
    <row r="31" spans="1:7">
      <c r="A31" s="311">
        <v>28</v>
      </c>
      <c r="B31" s="313" t="s">
        <v>590</v>
      </c>
      <c r="F31" s="311">
        <v>28</v>
      </c>
      <c r="G31" s="313" t="s">
        <v>593</v>
      </c>
    </row>
    <row r="32" spans="1:7">
      <c r="A32" s="311">
        <v>29</v>
      </c>
      <c r="B32" s="313" t="s">
        <v>591</v>
      </c>
      <c r="F32" s="311">
        <v>29</v>
      </c>
      <c r="G32" s="313" t="s">
        <v>594</v>
      </c>
    </row>
    <row r="33" spans="1:7">
      <c r="A33" s="311">
        <v>30</v>
      </c>
      <c r="B33" s="313" t="s">
        <v>592</v>
      </c>
      <c r="F33" s="311">
        <v>30</v>
      </c>
      <c r="G33" s="313" t="s">
        <v>595</v>
      </c>
    </row>
    <row r="34" spans="1:7">
      <c r="A34" s="311">
        <v>31</v>
      </c>
      <c r="B34" s="313" t="s">
        <v>593</v>
      </c>
      <c r="F34" s="311">
        <v>31</v>
      </c>
      <c r="G34" s="313" t="s">
        <v>596</v>
      </c>
    </row>
    <row r="35" spans="1:7">
      <c r="A35" s="311">
        <v>32</v>
      </c>
      <c r="B35" s="313" t="s">
        <v>594</v>
      </c>
      <c r="F35" s="311">
        <v>32</v>
      </c>
      <c r="G35" s="313" t="s">
        <v>597</v>
      </c>
    </row>
    <row r="36" spans="1:7">
      <c r="A36" s="311">
        <v>33</v>
      </c>
      <c r="B36" s="313" t="s">
        <v>595</v>
      </c>
      <c r="F36" s="311">
        <v>33</v>
      </c>
      <c r="G36" s="313" t="s">
        <v>598</v>
      </c>
    </row>
    <row r="37" spans="1:7">
      <c r="A37" s="311">
        <v>34</v>
      </c>
      <c r="B37" s="313" t="s">
        <v>596</v>
      </c>
      <c r="F37" s="311">
        <v>34</v>
      </c>
      <c r="G37" s="313" t="s">
        <v>599</v>
      </c>
    </row>
    <row r="38" spans="1:7">
      <c r="A38" s="311">
        <v>35</v>
      </c>
      <c r="B38" s="313" t="s">
        <v>597</v>
      </c>
      <c r="F38" s="311">
        <v>35</v>
      </c>
      <c r="G38" s="313" t="s">
        <v>600</v>
      </c>
    </row>
    <row r="39" spans="1:7">
      <c r="A39" s="311">
        <v>36</v>
      </c>
      <c r="B39" s="313" t="s">
        <v>598</v>
      </c>
      <c r="F39" s="311">
        <v>36</v>
      </c>
      <c r="G39" s="313" t="s">
        <v>601</v>
      </c>
    </row>
    <row r="40" spans="1:7">
      <c r="A40" s="311">
        <v>37</v>
      </c>
      <c r="B40" s="313" t="s">
        <v>599</v>
      </c>
      <c r="F40" s="311">
        <v>37</v>
      </c>
      <c r="G40" s="313" t="s">
        <v>267</v>
      </c>
    </row>
    <row r="41" spans="1:7">
      <c r="A41" s="311">
        <v>38</v>
      </c>
      <c r="B41" s="313" t="s">
        <v>600</v>
      </c>
      <c r="F41" s="311">
        <v>38</v>
      </c>
      <c r="G41" s="313" t="s">
        <v>602</v>
      </c>
    </row>
    <row r="42" spans="1:7">
      <c r="A42" s="311">
        <v>39</v>
      </c>
      <c r="B42" s="313" t="s">
        <v>601</v>
      </c>
      <c r="F42" s="311">
        <v>39</v>
      </c>
      <c r="G42" s="313" t="s">
        <v>603</v>
      </c>
    </row>
    <row r="43" spans="1:7">
      <c r="A43" s="311">
        <v>40</v>
      </c>
      <c r="B43" s="313" t="s">
        <v>267</v>
      </c>
      <c r="F43" s="311">
        <v>40</v>
      </c>
      <c r="G43" s="313" t="s">
        <v>604</v>
      </c>
    </row>
    <row r="44" spans="1:7">
      <c r="A44" s="311">
        <v>41</v>
      </c>
      <c r="B44" s="313" t="s">
        <v>602</v>
      </c>
      <c r="F44" s="311">
        <v>41</v>
      </c>
      <c r="G44" s="313" t="s">
        <v>269</v>
      </c>
    </row>
    <row r="45" spans="1:7">
      <c r="A45" s="311">
        <v>42</v>
      </c>
      <c r="B45" s="313" t="s">
        <v>603</v>
      </c>
      <c r="F45" s="311">
        <v>42</v>
      </c>
      <c r="G45" s="313" t="s">
        <v>268</v>
      </c>
    </row>
    <row r="46" spans="1:7">
      <c r="A46" s="311">
        <v>43</v>
      </c>
      <c r="B46" s="313" t="s">
        <v>604</v>
      </c>
      <c r="F46" s="311">
        <v>43</v>
      </c>
      <c r="G46" s="313" t="s">
        <v>605</v>
      </c>
    </row>
    <row r="47" spans="1:7">
      <c r="A47" s="311">
        <v>44</v>
      </c>
      <c r="B47" s="313" t="s">
        <v>269</v>
      </c>
      <c r="F47" s="311">
        <v>44</v>
      </c>
      <c r="G47" s="313" t="s">
        <v>606</v>
      </c>
    </row>
    <row r="48" spans="1:7">
      <c r="A48" s="311">
        <v>45</v>
      </c>
      <c r="B48" s="313" t="s">
        <v>268</v>
      </c>
      <c r="F48" s="311">
        <v>45</v>
      </c>
      <c r="G48" s="313" t="s">
        <v>607</v>
      </c>
    </row>
    <row r="49" spans="1:7">
      <c r="A49" s="311">
        <v>46</v>
      </c>
      <c r="B49" s="313" t="s">
        <v>605</v>
      </c>
      <c r="F49" s="311">
        <v>46</v>
      </c>
      <c r="G49" s="313" t="s">
        <v>608</v>
      </c>
    </row>
    <row r="50" spans="1:7">
      <c r="A50" s="311">
        <v>47</v>
      </c>
      <c r="B50" s="313" t="s">
        <v>606</v>
      </c>
      <c r="F50" s="311">
        <v>47</v>
      </c>
      <c r="G50" s="313" t="s">
        <v>609</v>
      </c>
    </row>
    <row r="51" spans="1:7">
      <c r="A51" s="311">
        <v>48</v>
      </c>
      <c r="B51" s="313" t="s">
        <v>610</v>
      </c>
      <c r="F51" s="311">
        <v>48</v>
      </c>
      <c r="G51" s="313" t="s">
        <v>611</v>
      </c>
    </row>
    <row r="52" spans="1:7">
      <c r="A52" s="311">
        <v>49</v>
      </c>
      <c r="B52" s="313" t="s">
        <v>607</v>
      </c>
      <c r="F52" s="311">
        <v>49</v>
      </c>
      <c r="G52" s="313" t="s">
        <v>612</v>
      </c>
    </row>
    <row r="53" spans="1:7">
      <c r="A53" s="311">
        <v>50</v>
      </c>
      <c r="B53" s="313" t="s">
        <v>608</v>
      </c>
      <c r="F53" s="311">
        <v>50</v>
      </c>
      <c r="G53" s="313" t="s">
        <v>613</v>
      </c>
    </row>
    <row r="54" spans="1:7">
      <c r="A54" s="311">
        <v>51</v>
      </c>
      <c r="B54" s="313" t="s">
        <v>609</v>
      </c>
      <c r="F54" s="311">
        <v>51</v>
      </c>
      <c r="G54" s="313" t="s">
        <v>614</v>
      </c>
    </row>
    <row r="55" spans="1:7">
      <c r="A55" s="311">
        <v>52</v>
      </c>
      <c r="B55" s="313" t="s">
        <v>611</v>
      </c>
      <c r="F55" s="314"/>
    </row>
    <row r="56" spans="1:7">
      <c r="A56" s="311">
        <v>53</v>
      </c>
      <c r="B56" s="313" t="s">
        <v>612</v>
      </c>
      <c r="F56" s="314"/>
    </row>
    <row r="57" spans="1:7">
      <c r="A57" s="311">
        <v>54</v>
      </c>
      <c r="B57" s="313" t="s">
        <v>613</v>
      </c>
      <c r="F57" s="314"/>
    </row>
    <row r="58" spans="1:7">
      <c r="A58" s="311">
        <v>55</v>
      </c>
      <c r="B58" s="313" t="s">
        <v>614</v>
      </c>
      <c r="F58" s="314"/>
    </row>
    <row r="59" spans="1:7">
      <c r="A59" s="311"/>
      <c r="B59" s="313"/>
      <c r="F59" s="314"/>
    </row>
    <row r="60" spans="1:7">
      <c r="A60" s="311"/>
      <c r="B60" s="315"/>
      <c r="F60" s="314"/>
    </row>
    <row r="61" spans="1:7">
      <c r="A61" s="311"/>
      <c r="F61" s="314"/>
    </row>
    <row r="62" spans="1:7">
      <c r="A62" s="311"/>
      <c r="F62" s="314"/>
    </row>
    <row r="63" spans="1:7">
      <c r="A63" s="311"/>
      <c r="F63" s="314"/>
    </row>
    <row r="64" spans="1:7">
      <c r="A64" s="311"/>
      <c r="F64" s="314"/>
    </row>
    <row r="65" spans="1:6">
      <c r="A65" s="311"/>
      <c r="F65" s="314"/>
    </row>
    <row r="66" spans="1:6">
      <c r="A66" s="311"/>
      <c r="F66" s="314"/>
    </row>
    <row r="67" spans="1:6">
      <c r="A67" s="311"/>
      <c r="F67" s="314"/>
    </row>
    <row r="68" spans="1:6">
      <c r="A68" s="311"/>
      <c r="F68" s="314"/>
    </row>
    <row r="69" spans="1:6">
      <c r="A69" s="311"/>
      <c r="F69" s="314"/>
    </row>
    <row r="70" spans="1:6">
      <c r="A70" s="311"/>
    </row>
    <row r="71" spans="1:6">
      <c r="A71" s="311"/>
    </row>
    <row r="72" spans="1:6">
      <c r="A72" s="316"/>
    </row>
  </sheetData>
  <mergeCells count="2">
    <mergeCell ref="A1:B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MSP2_01</vt:lpstr>
      <vt:lpstr>MSP2-02</vt:lpstr>
      <vt:lpstr>MSP2-03</vt:lpstr>
      <vt:lpstr>MSP2-04</vt:lpstr>
      <vt:l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IVOR .</dc:creator>
  <cp:lastModifiedBy>IVOR .</cp:lastModifiedBy>
  <dcterms:created xsi:type="dcterms:W3CDTF">2026-04-18T11:13:47Z</dcterms:created>
  <dcterms:modified xsi:type="dcterms:W3CDTF">2026-04-18T11:23:20Z</dcterms:modified>
</cp:coreProperties>
</file>